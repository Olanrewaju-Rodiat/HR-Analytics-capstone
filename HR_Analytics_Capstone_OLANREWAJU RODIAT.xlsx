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C\Desktop\"/>
    </mc:Choice>
  </mc:AlternateContent>
  <xr:revisionPtr revIDLastSave="0" documentId="13_ncr:1_{0F09FE71-9DB5-4B75-BE8C-E28B7E3064D4}" xr6:coauthVersionLast="47" xr6:coauthVersionMax="47" xr10:uidLastSave="{00000000-0000-0000-0000-000000000000}"/>
  <bookViews>
    <workbookView xWindow="-108" yWindow="-108" windowWidth="23256" windowHeight="12576" firstSheet="3" activeTab="6" xr2:uid="{00000000-000D-0000-FFFF-FFFF00000000}"/>
  </bookViews>
  <sheets>
    <sheet name="Raw_Employee_Data" sheetId="1" r:id="rId1"/>
    <sheet name="Lookup_Departments" sheetId="2" r:id="rId2"/>
    <sheet name="Lookup_Performance" sheetId="3" r:id="rId3"/>
    <sheet name="Cleaned Employee Data" sheetId="4" r:id="rId4"/>
    <sheet name="Analysis" sheetId="5" r:id="rId5"/>
    <sheet name="Chart" sheetId="9" r:id="rId6"/>
    <sheet name="Dashboard" sheetId="10" r:id="rId7"/>
  </sheets>
  <definedNames>
    <definedName name="Slicer_Department_Name">#N/A</definedName>
    <definedName name="Slicer_Eligible_Bonus">#N/A</definedName>
    <definedName name="Slicer_Perf_Score">#N/A</definedName>
    <definedName name="Slicer_Salary">#N/A</definedName>
    <definedName name="Slicer_Year_of_Servic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2" i="5" l="1"/>
  <c r="G13"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G2" i="4"/>
  <c r="G3" i="4"/>
  <c r="G4" i="4"/>
  <c r="G5" i="4"/>
  <c r="G6" i="4"/>
  <c r="G7" i="4"/>
  <c r="G8" i="4"/>
  <c r="G9" i="4"/>
  <c r="G10" i="4"/>
  <c r="G11" i="4"/>
  <c r="G12"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F5" i="5"/>
  <c r="E32" i="5"/>
  <c r="B5" i="5"/>
</calcChain>
</file>

<file path=xl/sharedStrings.xml><?xml version="1.0" encoding="utf-8"?>
<sst xmlns="http://schemas.openxmlformats.org/spreadsheetml/2006/main" count="1763" uniqueCount="323">
  <si>
    <t>Emp ID</t>
  </si>
  <si>
    <t>First_Name</t>
  </si>
  <si>
    <t>Last_Name</t>
  </si>
  <si>
    <t>Dept Code</t>
  </si>
  <si>
    <t>Hire Date</t>
  </si>
  <si>
    <t>Salary</t>
  </si>
  <si>
    <t>Perf_Score</t>
  </si>
  <si>
    <t>Employment Status</t>
  </si>
  <si>
    <t>EMP127</t>
  </si>
  <si>
    <t>Emily</t>
  </si>
  <si>
    <t>Brown</t>
  </si>
  <si>
    <t>IT02</t>
  </si>
  <si>
    <t>active</t>
  </si>
  <si>
    <t>EMP046</t>
  </si>
  <si>
    <t>Richard</t>
  </si>
  <si>
    <t>Hernandez</t>
  </si>
  <si>
    <t>MKT04</t>
  </si>
  <si>
    <t xml:space="preserve"> ACTIVE </t>
  </si>
  <si>
    <t>EMP134</t>
  </si>
  <si>
    <t>Gonzalez</t>
  </si>
  <si>
    <t xml:space="preserve"> IT02 </t>
  </si>
  <si>
    <t>$114,425</t>
  </si>
  <si>
    <t xml:space="preserve"> LEFT </t>
  </si>
  <si>
    <t>EMP139</t>
  </si>
  <si>
    <t>John</t>
  </si>
  <si>
    <t>Martinez</t>
  </si>
  <si>
    <t>FIN03</t>
  </si>
  <si>
    <t>EMP112</t>
  </si>
  <si>
    <t>Thomas</t>
  </si>
  <si>
    <t>Smith</t>
  </si>
  <si>
    <t>Left</t>
  </si>
  <si>
    <t>EMP030</t>
  </si>
  <si>
    <t>Johnson</t>
  </si>
  <si>
    <t>OPS06</t>
  </si>
  <si>
    <t>02-Mar-20</t>
  </si>
  <si>
    <t>EMP096</t>
  </si>
  <si>
    <t>Wilson</t>
  </si>
  <si>
    <t xml:space="preserve"> OPS06 </t>
  </si>
  <si>
    <t>EMP098</t>
  </si>
  <si>
    <t>Jessica</t>
  </si>
  <si>
    <t>EMP095</t>
  </si>
  <si>
    <t>Rodriguez</t>
  </si>
  <si>
    <t>EMP140</t>
  </si>
  <si>
    <t>Michael</t>
  </si>
  <si>
    <t>SAL05</t>
  </si>
  <si>
    <t>Active</t>
  </si>
  <si>
    <t>EMP020</t>
  </si>
  <si>
    <t>Miller</t>
  </si>
  <si>
    <t>sal05</t>
  </si>
  <si>
    <t>$118,635</t>
  </si>
  <si>
    <t>EMP057</t>
  </si>
  <si>
    <t>Actv</t>
  </si>
  <si>
    <t>EMP016</t>
  </si>
  <si>
    <t>Jane</t>
  </si>
  <si>
    <t>Williams</t>
  </si>
  <si>
    <t>mkt04</t>
  </si>
  <si>
    <t>17-Jun-21</t>
  </si>
  <si>
    <t>EMP070</t>
  </si>
  <si>
    <t>EMP025</t>
  </si>
  <si>
    <t>Robert</t>
  </si>
  <si>
    <t>Jones</t>
  </si>
  <si>
    <t xml:space="preserve"> MKT04 </t>
  </si>
  <si>
    <t>EMP031</t>
  </si>
  <si>
    <t>EMP126</t>
  </si>
  <si>
    <t>Davis</t>
  </si>
  <si>
    <t>EMP109</t>
  </si>
  <si>
    <t>James</t>
  </si>
  <si>
    <t>EMP066</t>
  </si>
  <si>
    <t>Ashley</t>
  </si>
  <si>
    <t>Lopez</t>
  </si>
  <si>
    <t>EMP120</t>
  </si>
  <si>
    <t>Amanda</t>
  </si>
  <si>
    <t>EMP019</t>
  </si>
  <si>
    <t>EMP013</t>
  </si>
  <si>
    <t>EMP010</t>
  </si>
  <si>
    <t>EMP032</t>
  </si>
  <si>
    <t xml:space="preserve"> FIN03 </t>
  </si>
  <si>
    <t>EMP082</t>
  </si>
  <si>
    <t>EMP052</t>
  </si>
  <si>
    <t xml:space="preserve"> SAL05 </t>
  </si>
  <si>
    <t>EMP129</t>
  </si>
  <si>
    <t>09/24/2019</t>
  </si>
  <si>
    <t>$77,610</t>
  </si>
  <si>
    <t>EMP146</t>
  </si>
  <si>
    <t>it02</t>
  </si>
  <si>
    <t>$50,873</t>
  </si>
  <si>
    <t>EMP099</t>
  </si>
  <si>
    <t>fin03</t>
  </si>
  <si>
    <t>13-May-18</t>
  </si>
  <si>
    <t>EMP015</t>
  </si>
  <si>
    <t>EMP076</t>
  </si>
  <si>
    <t>05-Aug-15</t>
  </si>
  <si>
    <t>EMP137</t>
  </si>
  <si>
    <t>EMP056</t>
  </si>
  <si>
    <t>Sarah</t>
  </si>
  <si>
    <t>10-Jun-19</t>
  </si>
  <si>
    <t>EMP125</t>
  </si>
  <si>
    <t>HR01</t>
  </si>
  <si>
    <t>EMP085</t>
  </si>
  <si>
    <t>03-Jul-17</t>
  </si>
  <si>
    <t>EMP106</t>
  </si>
  <si>
    <t>01-Sep-15</t>
  </si>
  <si>
    <t>EMP043</t>
  </si>
  <si>
    <t>03-Aug-22</t>
  </si>
  <si>
    <t>EMP068</t>
  </si>
  <si>
    <t>Melissa</t>
  </si>
  <si>
    <t>06/29/2022</t>
  </si>
  <si>
    <t>EMP128</t>
  </si>
  <si>
    <t>left</t>
  </si>
  <si>
    <t>EMP027</t>
  </si>
  <si>
    <t>09/09/2017</t>
  </si>
  <si>
    <t>EMP136</t>
  </si>
  <si>
    <t>EMP079</t>
  </si>
  <si>
    <t>David</t>
  </si>
  <si>
    <t>EMP149</t>
  </si>
  <si>
    <t>$66,606</t>
  </si>
  <si>
    <t>Resigned</t>
  </si>
  <si>
    <t>EMP037</t>
  </si>
  <si>
    <t>EMP077</t>
  </si>
  <si>
    <t>07/14/2016</t>
  </si>
  <si>
    <t>EMP023</t>
  </si>
  <si>
    <t>EMP133</t>
  </si>
  <si>
    <t>10-Jul-19</t>
  </si>
  <si>
    <t>EMP141</t>
  </si>
  <si>
    <t>EMP012</t>
  </si>
  <si>
    <t>EMP080</t>
  </si>
  <si>
    <t>$75,023</t>
  </si>
  <si>
    <t>EMP069</t>
  </si>
  <si>
    <t>EMP150</t>
  </si>
  <si>
    <t>EMP028</t>
  </si>
  <si>
    <t>10/07/2019</t>
  </si>
  <si>
    <t>EMP087</t>
  </si>
  <si>
    <t>EMP119</t>
  </si>
  <si>
    <t>Garcia</t>
  </si>
  <si>
    <t>EMP042</t>
  </si>
  <si>
    <t>Anderson</t>
  </si>
  <si>
    <t>EMP005</t>
  </si>
  <si>
    <t>EMP033</t>
  </si>
  <si>
    <t>hr01</t>
  </si>
  <si>
    <t>02/07/2018</t>
  </si>
  <si>
    <t>EMP061</t>
  </si>
  <si>
    <t>EMP102</t>
  </si>
  <si>
    <t>EMP067</t>
  </si>
  <si>
    <t>EMP017</t>
  </si>
  <si>
    <t>EMP123</t>
  </si>
  <si>
    <t>$75,519</t>
  </si>
  <si>
    <t>EMP011</t>
  </si>
  <si>
    <t>EMP091</t>
  </si>
  <si>
    <t>EMP145</t>
  </si>
  <si>
    <t>11/11/2016</t>
  </si>
  <si>
    <t>$50,936</t>
  </si>
  <si>
    <t>EMP001</t>
  </si>
  <si>
    <t>24-Mar-17</t>
  </si>
  <si>
    <t>$111,240</t>
  </si>
  <si>
    <t>EMP113</t>
  </si>
  <si>
    <t>05-May-19</t>
  </si>
  <si>
    <t>EMP065</t>
  </si>
  <si>
    <t xml:space="preserve"> HR01 </t>
  </si>
  <si>
    <t>EMP045</t>
  </si>
  <si>
    <t>EMP083</t>
  </si>
  <si>
    <t>William</t>
  </si>
  <si>
    <t>EMP029</t>
  </si>
  <si>
    <t>EMP041</t>
  </si>
  <si>
    <t>EMP026</t>
  </si>
  <si>
    <t>EMP024</t>
  </si>
  <si>
    <t>ops06</t>
  </si>
  <si>
    <t>11-Oct-16</t>
  </si>
  <si>
    <t>EMP111</t>
  </si>
  <si>
    <t>EMP040</t>
  </si>
  <si>
    <t>02/19/2017</t>
  </si>
  <si>
    <t>$86,246</t>
  </si>
  <si>
    <t>EMP086</t>
  </si>
  <si>
    <t>09/07/2021</t>
  </si>
  <si>
    <t>EMP124</t>
  </si>
  <si>
    <t>EMP132</t>
  </si>
  <si>
    <t>EMP048</t>
  </si>
  <si>
    <t>09/29/2018</t>
  </si>
  <si>
    <t>$47,694</t>
  </si>
  <si>
    <t>EMP114</t>
  </si>
  <si>
    <t>EMP062</t>
  </si>
  <si>
    <t>EMP074</t>
  </si>
  <si>
    <t>07-Feb-21</t>
  </si>
  <si>
    <t>EMP034</t>
  </si>
  <si>
    <t>10/04/2023</t>
  </si>
  <si>
    <t>EMP105</t>
  </si>
  <si>
    <t>EMP118</t>
  </si>
  <si>
    <t>EMP063</t>
  </si>
  <si>
    <t>27-Nov-19</t>
  </si>
  <si>
    <t>EMP094</t>
  </si>
  <si>
    <t>25-May-17</t>
  </si>
  <si>
    <t>$77,545</t>
  </si>
  <si>
    <t>EMP097</t>
  </si>
  <si>
    <t>EMP054</t>
  </si>
  <si>
    <t>EMP006</t>
  </si>
  <si>
    <t>EMP110</t>
  </si>
  <si>
    <t>$88,056</t>
  </si>
  <si>
    <t>EMP147</t>
  </si>
  <si>
    <t>EMP050</t>
  </si>
  <si>
    <t>$115,288</t>
  </si>
  <si>
    <t>EMP036</t>
  </si>
  <si>
    <t>EMP081</t>
  </si>
  <si>
    <t>EMP078</t>
  </si>
  <si>
    <t>EMP035</t>
  </si>
  <si>
    <t>03/08/2019</t>
  </si>
  <si>
    <t>EMP047</t>
  </si>
  <si>
    <t>11-Mar-15</t>
  </si>
  <si>
    <t>EMP008</t>
  </si>
  <si>
    <t>19-Feb-17</t>
  </si>
  <si>
    <t>EMP044</t>
  </si>
  <si>
    <t>$49,942</t>
  </si>
  <si>
    <t>EMP071</t>
  </si>
  <si>
    <t>EMP115</t>
  </si>
  <si>
    <t>EMP092</t>
  </si>
  <si>
    <t>05/22/2016</t>
  </si>
  <si>
    <t>EMP084</t>
  </si>
  <si>
    <t>EMP142</t>
  </si>
  <si>
    <t>EMP143</t>
  </si>
  <si>
    <t>13-Nov-16</t>
  </si>
  <si>
    <t>$77,737</t>
  </si>
  <si>
    <t>EMP090</t>
  </si>
  <si>
    <t>$95,686</t>
  </si>
  <si>
    <t>EMP009</t>
  </si>
  <si>
    <t>EMP014</t>
  </si>
  <si>
    <t>13-Aug-21</t>
  </si>
  <si>
    <t>$109,121</t>
  </si>
  <si>
    <t>EMP060</t>
  </si>
  <si>
    <t>$112,791</t>
  </si>
  <si>
    <t>EMP135</t>
  </si>
  <si>
    <t>05-Jul-22</t>
  </si>
  <si>
    <t>EMP004</t>
  </si>
  <si>
    <t>07/10/2016</t>
  </si>
  <si>
    <t>EMP018</t>
  </si>
  <si>
    <t>EMP039</t>
  </si>
  <si>
    <t>05/10/2017</t>
  </si>
  <si>
    <t>EMP073</t>
  </si>
  <si>
    <t>EMP138</t>
  </si>
  <si>
    <t>04/20/2023</t>
  </si>
  <si>
    <t>EMP007</t>
  </si>
  <si>
    <t>EMP144</t>
  </si>
  <si>
    <t>24-Oct-21</t>
  </si>
  <si>
    <t>EMP101</t>
  </si>
  <si>
    <t>EMP003</t>
  </si>
  <si>
    <t>EMP121</t>
  </si>
  <si>
    <t>10-Aug-20</t>
  </si>
  <si>
    <t>$68,092</t>
  </si>
  <si>
    <t>EMP064</t>
  </si>
  <si>
    <t>EMP116</t>
  </si>
  <si>
    <t>24-Mar-18</t>
  </si>
  <si>
    <t>EMP055</t>
  </si>
  <si>
    <t>EMP108</t>
  </si>
  <si>
    <t>EMP051</t>
  </si>
  <si>
    <t>04-Mar-16</t>
  </si>
  <si>
    <t>EMP059</t>
  </si>
  <si>
    <t>EMP049</t>
  </si>
  <si>
    <t>28-Jul-17</t>
  </si>
  <si>
    <t>$115,618</t>
  </si>
  <si>
    <t>EMP089</t>
  </si>
  <si>
    <t>05/11/2023</t>
  </si>
  <si>
    <t>$110,618</t>
  </si>
  <si>
    <t>EMP022</t>
  </si>
  <si>
    <t>19-Mar-22</t>
  </si>
  <si>
    <t>EMP058</t>
  </si>
  <si>
    <t>EMP130</t>
  </si>
  <si>
    <t>08/29/2021</t>
  </si>
  <si>
    <t>EMP038</t>
  </si>
  <si>
    <t>$61,547</t>
  </si>
  <si>
    <t>EMP148</t>
  </si>
  <si>
    <t>EMP002</t>
  </si>
  <si>
    <t>03-Oct-17</t>
  </si>
  <si>
    <t>EMP053</t>
  </si>
  <si>
    <t>10/22/2015</t>
  </si>
  <si>
    <t>EMP131</t>
  </si>
  <si>
    <t>EMP104</t>
  </si>
  <si>
    <t>EMP100</t>
  </si>
  <si>
    <t>EMP117</t>
  </si>
  <si>
    <t>$108,119</t>
  </si>
  <si>
    <t>EMP088</t>
  </si>
  <si>
    <t>EMP075</t>
  </si>
  <si>
    <t>EMP122</t>
  </si>
  <si>
    <t>01/12/2019</t>
  </si>
  <si>
    <t>EMP021</t>
  </si>
  <si>
    <t>EMP072</t>
  </si>
  <si>
    <t>EMP107</t>
  </si>
  <si>
    <t>EMP093</t>
  </si>
  <si>
    <t>03-Nov-16</t>
  </si>
  <si>
    <t>EMP103</t>
  </si>
  <si>
    <t>$118,634</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</si>
  <si>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</si>
  <si>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</si>
  <si>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</si>
  <si>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</si>
  <si>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</si>
  <si>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</si>
  <si>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</si>
  <si>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</si>
  <si>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</si>
  <si>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</si>
  <si>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</si>
  <si>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</si>
  <si>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</si>
  <si>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</si>
  <si>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</si>
  <si>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</si>
  <si>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</si>
  <si>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Unknown</t>
  </si>
  <si>
    <t>ACTIVE</t>
  </si>
  <si>
    <t>LEFT</t>
  </si>
  <si>
    <t>RESIGNED</t>
  </si>
  <si>
    <t>Full Name</t>
  </si>
  <si>
    <t>Department Name</t>
  </si>
  <si>
    <t>Year of Service</t>
  </si>
  <si>
    <t>Eligible Bonus</t>
  </si>
  <si>
    <t>Performance Band</t>
  </si>
  <si>
    <t>Count of Emp ID</t>
  </si>
  <si>
    <t>Sum of Salary</t>
  </si>
  <si>
    <t>Sum of Eligible Bonus</t>
  </si>
  <si>
    <t>Average of Year of Service</t>
  </si>
  <si>
    <t>Row Labels</t>
  </si>
  <si>
    <t>Grand Total</t>
  </si>
  <si>
    <t>Column Labels</t>
  </si>
  <si>
    <t>Count of Perf_Score</t>
  </si>
  <si>
    <t>Average of Perf_Score</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</si>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</sst>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hh:mm:ss"/>
    <numFmt numFmtId="165" formatCode="&quot;$&quot;#,##0.00"/>
    <numFmt numFmtId="166" formatCode="&quot;$&quot;#,##0"/>
    <numFmt numFmtId="167" formatCode="0.0%"/>
  </numFmts>
  <fonts count="3" x14ac:knownFonts="1">
    <font>
      <sz val="11"/>
      <color theme="1"/>
      <name val="Calibri"/>
      <family val="2"/>
      <scheme val="minor"/>
    </font>
    <font>
      <b/>
      <sz val="11"/>
      <name val="Calibri"/>
      <family val="2"/>
    </font>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4" fontId="0" fillId="0" borderId="0" xfId="0" applyNumberFormat="1"/>
    <xf numFmtId="165" fontId="0" fillId="0" borderId="0" xfId="0" applyNumberFormat="1"/>
    <xf numFmtId="1" fontId="0" fillId="0" borderId="0" xfId="0" applyNumberFormat="1"/>
    <xf numFmtId="165" fontId="1" fillId="0" borderId="2" xfId="0" applyNumberFormat="1"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6" fontId="0" fillId="0" borderId="0" xfId="0" applyNumberFormat="1"/>
    <xf numFmtId="166" fontId="0" fillId="0" borderId="0" xfId="1" applyNumberFormat="1" applyFont="1"/>
    <xf numFmtId="167" fontId="0" fillId="0" borderId="0" xfId="0" applyNumberFormat="1"/>
    <xf numFmtId="0" fontId="0" fillId="2" borderId="0" xfId="0" applyFont="1" applyFill="1"/>
  </cellXfs>
  <cellStyles count="2">
    <cellStyle name="Currency" xfId="1" builtinId="4"/>
    <cellStyle name="Normal" xfId="0" builtinId="0"/>
  </cellStyles>
  <dxfs count="151">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2" formatCode="0.00"/>
    </dxf>
    <dxf>
      <numFmt numFmtId="166" formatCode="&quot;$&quot;#,##0"/>
    </dxf>
    <dxf>
      <numFmt numFmtId="2" formatCode="0.00"/>
    </dxf>
    <dxf>
      <numFmt numFmtId="0" formatCode="General"/>
    </dxf>
    <dxf>
      <numFmt numFmtId="165" formatCode="&quot;$&quot;#,##0.00"/>
    </dxf>
    <dxf>
      <numFmt numFmtId="165" formatCode="&quot;$&quot;#,##0.00"/>
    </dxf>
    <dxf>
      <numFmt numFmtId="1" formatCode="0"/>
    </dxf>
    <dxf>
      <numFmt numFmtId="19" formatCode="m/d/yyyy"/>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AE5EA1"/>
      <color rgb="FF765B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[HR_Analytics_Capstone_Raw_Data.xlsx]Analysis!PivotTable6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4"/>
                </a:solidFill>
                <a:prstDash val="sysDot"/>
              </a:ln>
              <a:effectLst/>
            </c:spPr>
            <c:trendlineType val="linear"/>
            <c:dispRSqr val="0"/>
            <c:dispEq val="0"/>
          </c:trendline>
          <c:cat>
            <c:strRef>
              <c:f>Analysis!$A$9:$A$15</c:f>
              <c:strCache>
                <c:ptCount val="6"/>
                <c:pt idx="0">
                  <c:v>Finance</c:v>
                </c:pt>
                <c:pt idx="1">
                  <c:v>Human Resources</c:v>
                </c:pt>
                <c:pt idx="2">
                  <c:v>Information Technology</c:v>
                </c:pt>
                <c:pt idx="3">
                  <c:v>Marketing</c:v>
                </c:pt>
                <c:pt idx="4">
                  <c:v>Operations</c:v>
                </c:pt>
                <c:pt idx="5">
                  <c:v>Sales</c:v>
                </c:pt>
              </c:strCache>
            </c:strRef>
          </c:cat>
          <c:val>
            <c:numRef>
              <c:f>Analysis!$B$9:$B$15</c:f>
              <c:numCache>
                <c:formatCode>0.00%</c:formatCode>
                <c:ptCount val="6"/>
                <c:pt idx="0">
                  <c:v>0.11964286102081097</c:v>
                </c:pt>
                <c:pt idx="1">
                  <c:v>0.12400470878962534</c:v>
                </c:pt>
                <c:pt idx="2">
                  <c:v>0.23015789775514503</c:v>
                </c:pt>
                <c:pt idx="3">
                  <c:v>0.13047249805134256</c:v>
                </c:pt>
                <c:pt idx="4">
                  <c:v>0.18431761680422756</c:v>
                </c:pt>
                <c:pt idx="5">
                  <c:v>0.21140441757884854</c:v>
                </c:pt>
              </c:numCache>
            </c:numRef>
          </c:val>
          <c:extLst>
            <c:ext xmlns:c16="http://schemas.microsoft.com/office/drawing/2014/chart" uri="{C3380CC4-5D6E-409C-BE32-E72D297353CC}">
              <c16:uniqueId val="{00000000-5517-4DCA-9AC0-4715A483251E}"/>
            </c:ext>
          </c:extLst>
        </c:ser>
        <c:dLbls>
          <c:dLblPos val="outEnd"/>
          <c:showLegendKey val="0"/>
          <c:showVal val="1"/>
          <c:showCatName val="0"/>
          <c:showSerName val="0"/>
          <c:showPercent val="0"/>
          <c:showBubbleSize val="0"/>
        </c:dLbls>
        <c:gapWidth val="219"/>
        <c:overlap val="-27"/>
        <c:axId val="1196678720"/>
        <c:axId val="1196690240"/>
      </c:barChart>
      <c:catAx>
        <c:axId val="1196678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6690240"/>
        <c:crosses val="autoZero"/>
        <c:auto val="1"/>
        <c:lblAlgn val="ctr"/>
        <c:lblOffset val="100"/>
        <c:noMultiLvlLbl val="0"/>
      </c:catAx>
      <c:valAx>
        <c:axId val="1196690240"/>
        <c:scaling>
          <c:orientation val="minMax"/>
        </c:scaling>
        <c:delete val="1"/>
        <c:axPos val="l"/>
        <c:numFmt formatCode="0.00%" sourceLinked="1"/>
        <c:majorTickMark val="out"/>
        <c:minorTickMark val="none"/>
        <c:tickLblPos val="nextTo"/>
        <c:crossAx val="119667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[HR_Analytics_Capstone_Raw_Data.xlsx]Analysis!PivotTable9</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Salary Distrinution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Analysis!$B$18</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Analysis!$A$19:$A$20</c:f>
              <c:strCache>
                <c:ptCount val="1"/>
                <c:pt idx="0">
                  <c:v>EMP011</c:v>
                </c:pt>
              </c:strCache>
            </c:strRef>
          </c:cat>
          <c:val>
            <c:numRef>
              <c:f>Analysis!$B$19:$B$20</c:f>
              <c:numCache>
                <c:formatCode>General</c:formatCode>
                <c:ptCount val="1"/>
                <c:pt idx="0">
                  <c:v>103891</c:v>
                </c:pt>
              </c:numCache>
            </c:numRef>
          </c:val>
          <c:extLst>
            <c:ext xmlns:c16="http://schemas.microsoft.com/office/drawing/2014/chart" uri="{C3380CC4-5D6E-409C-BE32-E72D297353CC}">
              <c16:uniqueId val="{00000000-CC88-4AE3-98D7-AC01D41369AA}"/>
            </c:ext>
          </c:extLst>
        </c:ser>
        <c:dLbls>
          <c:showLegendKey val="0"/>
          <c:showVal val="0"/>
          <c:showCatName val="0"/>
          <c:showSerName val="0"/>
          <c:showPercent val="0"/>
          <c:showBubbleSize val="0"/>
        </c:dLbls>
        <c:gapWidth val="315"/>
        <c:overlap val="-40"/>
        <c:axId val="1359992816"/>
        <c:axId val="1360002416"/>
      </c:barChart>
      <c:catAx>
        <c:axId val="1359992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360002416"/>
        <c:crosses val="autoZero"/>
        <c:auto val="1"/>
        <c:lblAlgn val="ctr"/>
        <c:lblOffset val="100"/>
        <c:noMultiLvlLbl val="0"/>
      </c:catAx>
      <c:valAx>
        <c:axId val="13600024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35999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Salary by Performance band</a:t>
            </a:r>
          </a:p>
        </c:rich>
      </c:tx>
      <c:layout>
        <c:manualLayout>
          <c:xMode val="edge"/>
          <c:yMode val="edge"/>
          <c:x val="6.9871560043512415E-2"/>
          <c:y val="4.715993562563047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Analysis!$F$8</c:f>
              <c:strCache>
                <c:ptCount val="1"/>
                <c:pt idx="0">
                  <c:v>Total</c:v>
                </c:pt>
              </c:strCache>
            </c:strRef>
          </c:tx>
          <c:spPr>
            <a:solidFill>
              <a:schemeClr val="accent4">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Analysis!$E$9:$E$14</c:f>
              <c:strCache>
                <c:ptCount val="5"/>
                <c:pt idx="0">
                  <c:v>Achieving</c:v>
                </c:pt>
                <c:pt idx="1">
                  <c:v>Developing</c:v>
                </c:pt>
                <c:pt idx="2">
                  <c:v>Exceeding</c:v>
                </c:pt>
                <c:pt idx="3">
                  <c:v>Needs Improvement</c:v>
                </c:pt>
                <c:pt idx="4">
                  <c:v>Outstanding</c:v>
                </c:pt>
              </c:strCache>
            </c:strRef>
          </c:cat>
          <c:val>
            <c:numRef>
              <c:f>Analysis!$F$9:$F$14</c:f>
              <c:numCache>
                <c:formatCode>0.00%</c:formatCode>
                <c:ptCount val="5"/>
                <c:pt idx="0">
                  <c:v>0.30283632508182512</c:v>
                </c:pt>
                <c:pt idx="1">
                  <c:v>0.29770812469702407</c:v>
                </c:pt>
                <c:pt idx="2">
                  <c:v>0.14493997749040269</c:v>
                </c:pt>
                <c:pt idx="3">
                  <c:v>0.19316952036766266</c:v>
                </c:pt>
                <c:pt idx="4">
                  <c:v>6.1346052363085449E-2</c:v>
                </c:pt>
              </c:numCache>
            </c:numRef>
          </c:val>
          <c:extLst>
            <c:ext xmlns:c16="http://schemas.microsoft.com/office/drawing/2014/chart" uri="{C3380CC4-5D6E-409C-BE32-E72D297353CC}">
              <c16:uniqueId val="{00000000-E61D-4C85-A242-2224CCB3738C}"/>
            </c:ext>
          </c:extLst>
        </c:ser>
        <c:dLbls>
          <c:dLblPos val="inEnd"/>
          <c:showLegendKey val="0"/>
          <c:showVal val="1"/>
          <c:showCatName val="0"/>
          <c:showSerName val="0"/>
          <c:showPercent val="0"/>
          <c:showBubbleSize val="0"/>
        </c:dLbls>
        <c:gapWidth val="65"/>
        <c:axId val="1360001456"/>
        <c:axId val="1360003856"/>
      </c:barChart>
      <c:catAx>
        <c:axId val="13600014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0003856"/>
        <c:crosses val="autoZero"/>
        <c:auto val="1"/>
        <c:lblAlgn val="ctr"/>
        <c:lblOffset val="100"/>
        <c:noMultiLvlLbl val="0"/>
      </c:catAx>
      <c:valAx>
        <c:axId val="1360003856"/>
        <c:scaling>
          <c:orientation val="minMax"/>
        </c:scaling>
        <c:delete val="1"/>
        <c:axPos val="b"/>
        <c:numFmt formatCode="0.00%" sourceLinked="1"/>
        <c:majorTickMark val="out"/>
        <c:minorTickMark val="none"/>
        <c:tickLblPos val="nextTo"/>
        <c:crossAx val="136000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3.1486887694701156E-2"/>
              <c:y val="-4.729063305680425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3.9358609618376478E-2"/>
              <c:y val="2.955664566050259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7.8717219236752525E-3"/>
              <c:y val="-4.13793039247036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Analysis!$I$8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188-4D6A-91D9-1DCA5B4A97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188-4D6A-91D9-1DCA5B4A976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188-4D6A-91D9-1DCA5B4A9767}"/>
              </c:ext>
            </c:extLst>
          </c:dPt>
          <c:dLbls>
            <c:dLbl>
              <c:idx val="0"/>
              <c:layout>
                <c:manualLayout>
                  <c:x val="3.1486887694701156E-2"/>
                  <c:y val="-4.72906330568042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88-4D6A-91D9-1DCA5B4A9767}"/>
                </c:ext>
              </c:extLst>
            </c:dLbl>
            <c:dLbl>
              <c:idx val="1"/>
              <c:layout>
                <c:manualLayout>
                  <c:x val="-3.9358609618376478E-2"/>
                  <c:y val="2.9556645660502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88-4D6A-91D9-1DCA5B4A9767}"/>
                </c:ext>
              </c:extLst>
            </c:dLbl>
            <c:dLbl>
              <c:idx val="2"/>
              <c:layout>
                <c:manualLayout>
                  <c:x val="7.8717219236752525E-3"/>
                  <c:y val="-4.13793039247036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88-4D6A-91D9-1DCA5B4A976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Analysis!$H$9:$H$12</c:f>
              <c:strCache>
                <c:ptCount val="3"/>
                <c:pt idx="0">
                  <c:v>ACTIVE</c:v>
                </c:pt>
                <c:pt idx="1">
                  <c:v>LEFT</c:v>
                </c:pt>
                <c:pt idx="2">
                  <c:v>RESIGNED</c:v>
                </c:pt>
              </c:strCache>
            </c:strRef>
          </c:cat>
          <c:val>
            <c:numRef>
              <c:f>Analysis!$I$9:$I$12</c:f>
              <c:numCache>
                <c:formatCode>0.00%</c:formatCode>
                <c:ptCount val="3"/>
                <c:pt idx="0">
                  <c:v>0.77503058613990805</c:v>
                </c:pt>
                <c:pt idx="1">
                  <c:v>0.1527740589317762</c:v>
                </c:pt>
                <c:pt idx="2">
                  <c:v>7.2195354928315705E-2</c:v>
                </c:pt>
              </c:numCache>
            </c:numRef>
          </c:val>
          <c:extLst>
            <c:ext xmlns:c16="http://schemas.microsoft.com/office/drawing/2014/chart" uri="{C3380CC4-5D6E-409C-BE32-E72D297353CC}">
              <c16:uniqueId val="{00000006-2188-4D6A-91D9-1DCA5B4A976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[HR_Analytics_Capstone_Raw_Data.xlsx]Analysis!PivotTable15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Eligible</a:t>
            </a:r>
            <a:r>
              <a:rPr lang="en-US" b="1" baseline="0"/>
              <a:t> bonus by performance band</a:t>
            </a:r>
            <a:endParaRPr lang="en-US" b="1"/>
          </a:p>
        </c:rich>
      </c:tx>
      <c:layout>
        <c:manualLayout>
          <c:xMode val="edge"/>
          <c:yMode val="edge"/>
          <c:x val="0.15807754432682089"/>
          <c:y val="9.52890341044789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Analysis!$K$27</c:f>
              <c:strCache>
                <c:ptCount val="1"/>
                <c:pt idx="0">
                  <c:v>Total</c:v>
                </c:pt>
              </c:strCache>
            </c:strRef>
          </c:tx>
          <c:spPr>
            <a:ln w="34925" cap="rnd">
              <a:solidFill>
                <a:schemeClr val="accent4">
                  <a:lumMod val="50000"/>
                </a:schemeClr>
              </a:solidFill>
              <a:round/>
            </a:ln>
            <a:effectLst/>
          </c:spPr>
          <c:marker>
            <c:symbol val="none"/>
          </c:marker>
          <c:cat>
            <c:strRef>
              <c:f>Analysis!$J$28:$J$33</c:f>
              <c:strCache>
                <c:ptCount val="5"/>
                <c:pt idx="0">
                  <c:v>Achieving</c:v>
                </c:pt>
                <c:pt idx="1">
                  <c:v>Developing</c:v>
                </c:pt>
                <c:pt idx="2">
                  <c:v>Exceeding</c:v>
                </c:pt>
                <c:pt idx="3">
                  <c:v>Needs Improvement</c:v>
                </c:pt>
                <c:pt idx="4">
                  <c:v>Outstanding</c:v>
                </c:pt>
              </c:strCache>
            </c:strRef>
          </c:cat>
          <c:val>
            <c:numRef>
              <c:f>Analysis!$K$28:$K$33</c:f>
              <c:numCache>
                <c:formatCode>0.00%</c:formatCode>
                <c:ptCount val="5"/>
                <c:pt idx="0">
                  <c:v>0.37804729850130231</c:v>
                </c:pt>
                <c:pt idx="1">
                  <c:v>0.14865819317175885</c:v>
                </c:pt>
                <c:pt idx="2">
                  <c:v>0.28949851730121823</c:v>
                </c:pt>
                <c:pt idx="3">
                  <c:v>0</c:v>
                </c:pt>
                <c:pt idx="4">
                  <c:v>0.18379599102572061</c:v>
                </c:pt>
              </c:numCache>
            </c:numRef>
          </c:val>
          <c:smooth val="0"/>
          <c:extLst>
            <c:ext xmlns:c16="http://schemas.microsoft.com/office/drawing/2014/chart" uri="{C3380CC4-5D6E-409C-BE32-E72D297353CC}">
              <c16:uniqueId val="{00000000-3AD4-49C4-BC0D-991A49AE6779}"/>
            </c:ext>
          </c:extLst>
        </c:ser>
        <c:dLbls>
          <c:showLegendKey val="0"/>
          <c:showVal val="0"/>
          <c:showCatName val="0"/>
          <c:showSerName val="0"/>
          <c:showPercent val="0"/>
          <c:showBubbleSize val="0"/>
        </c:dLbls>
        <c:smooth val="0"/>
        <c:axId val="1106243152"/>
        <c:axId val="1109235600"/>
      </c:lineChart>
      <c:catAx>
        <c:axId val="110624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9235600"/>
        <c:crosses val="autoZero"/>
        <c:auto val="1"/>
        <c:lblAlgn val="ctr"/>
        <c:lblOffset val="100"/>
        <c:noMultiLvlLbl val="0"/>
      </c:catAx>
      <c:valAx>
        <c:axId val="11092356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6243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Eligible bonus by</a:t>
            </a:r>
            <a:r>
              <a:rPr lang="en-US" b="1" baseline="0"/>
              <a:t> Department</a:t>
            </a:r>
            <a:endParaRPr lang="en-US" b="1"/>
          </a:p>
        </c:rich>
      </c:tx>
      <c:layout>
        <c:manualLayout>
          <c:xMode val="edge"/>
          <c:yMode val="edge"/>
          <c:x val="0.23698681787910841"/>
          <c:y val="4.76267841344710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Analysis!$N$27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Analysis!$M$28:$M$34</c:f>
              <c:strCache>
                <c:ptCount val="6"/>
                <c:pt idx="0">
                  <c:v>Finance</c:v>
                </c:pt>
                <c:pt idx="1">
                  <c:v>Human Resources</c:v>
                </c:pt>
                <c:pt idx="2">
                  <c:v>Information Technology</c:v>
                </c:pt>
                <c:pt idx="3">
                  <c:v>Marketing</c:v>
                </c:pt>
                <c:pt idx="4">
                  <c:v>Operations</c:v>
                </c:pt>
                <c:pt idx="5">
                  <c:v>Sales</c:v>
                </c:pt>
              </c:strCache>
            </c:strRef>
          </c:cat>
          <c:val>
            <c:numRef>
              <c:f>Analysis!$N$28:$N$34</c:f>
              <c:numCache>
                <c:formatCode>0.00%</c:formatCode>
                <c:ptCount val="6"/>
                <c:pt idx="0">
                  <c:v>9.9560112830838501E-2</c:v>
                </c:pt>
                <c:pt idx="1">
                  <c:v>0.15453798141648581</c:v>
                </c:pt>
                <c:pt idx="2">
                  <c:v>0.2078102220262317</c:v>
                </c:pt>
                <c:pt idx="3">
                  <c:v>0.15775687716105896</c:v>
                </c:pt>
                <c:pt idx="4">
                  <c:v>0.20270189279612427</c:v>
                </c:pt>
                <c:pt idx="5">
                  <c:v>0.17763291376926071</c:v>
                </c:pt>
              </c:numCache>
            </c:numRef>
          </c:val>
          <c:extLst>
            <c:ext xmlns:c16="http://schemas.microsoft.com/office/drawing/2014/chart" uri="{C3380CC4-5D6E-409C-BE32-E72D297353CC}">
              <c16:uniqueId val="{00000000-F0F8-49A6-987C-68CB8F545B96}"/>
            </c:ext>
          </c:extLst>
        </c:ser>
        <c:dLbls>
          <c:dLblPos val="outEnd"/>
          <c:showLegendKey val="0"/>
          <c:showVal val="1"/>
          <c:showCatName val="0"/>
          <c:showSerName val="0"/>
          <c:showPercent val="0"/>
          <c:showBubbleSize val="0"/>
        </c:dLbls>
        <c:gapWidth val="182"/>
        <c:axId val="1357144160"/>
        <c:axId val="1357151840"/>
      </c:barChart>
      <c:catAx>
        <c:axId val="135714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7151840"/>
        <c:crosses val="autoZero"/>
        <c:auto val="1"/>
        <c:lblAlgn val="ctr"/>
        <c:lblOffset val="100"/>
        <c:noMultiLvlLbl val="0"/>
      </c:catAx>
      <c:valAx>
        <c:axId val="135715184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7144160"/>
        <c:crosses val="autoZero"/>
        <c:crossBetween val="between"/>
      </c:valAx>
      <c:spPr>
        <a:noFill/>
        <a:ln>
          <a:solidFill>
            <a:schemeClr val="accent4">
              <a:lumMod val="40000"/>
              <a:lumOff val="6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Bonus</a:t>
            </a:r>
            <a:r>
              <a:rPr lang="en-US" b="1" baseline="0"/>
              <a:t> by Performance</a:t>
            </a:r>
            <a:endParaRPr lang="en-US" b="1"/>
          </a:p>
        </c:rich>
      </c:tx>
      <c:layout>
        <c:manualLayout>
          <c:xMode val="edge"/>
          <c:yMode val="edge"/>
          <c:x val="0.32810388879548485"/>
          <c:y val="6.35652168227707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Analysis!$P$18</c:f>
              <c:strCache>
                <c:ptCount val="1"/>
                <c:pt idx="0">
                  <c:v>Count of Emp ID</c:v>
                </c:pt>
              </c:strCache>
            </c:strRef>
          </c:tx>
          <c:spPr>
            <a:solidFill>
              <a:schemeClr val="accent4">
                <a:lumMod val="60000"/>
                <a:lumOff val="40000"/>
              </a:schemeClr>
            </a:solidFill>
            <a:ln>
              <a:noFill/>
            </a:ln>
            <a:effectLst/>
          </c:spPr>
          <c:invertIfNegative val="0"/>
          <c:cat>
            <c:strRef>
              <c:f>Analysis!$O$19:$O$24</c:f>
              <c:strCache>
                <c:ptCount val="5"/>
                <c:pt idx="0">
                  <c:v>Achieving</c:v>
                </c:pt>
                <c:pt idx="1">
                  <c:v>Developing</c:v>
                </c:pt>
                <c:pt idx="2">
                  <c:v>Exceeding</c:v>
                </c:pt>
                <c:pt idx="3">
                  <c:v>Needs Improvement</c:v>
                </c:pt>
                <c:pt idx="4">
                  <c:v>Outstanding</c:v>
                </c:pt>
              </c:strCache>
            </c:strRef>
          </c:cat>
          <c:val>
            <c:numRef>
              <c:f>Analysis!$P$19:$P$24</c:f>
              <c:numCache>
                <c:formatCode>General</c:formatCode>
                <c:ptCount val="5"/>
                <c:pt idx="0">
                  <c:v>47</c:v>
                </c:pt>
                <c:pt idx="1">
                  <c:v>43</c:v>
                </c:pt>
                <c:pt idx="2">
                  <c:v>22</c:v>
                </c:pt>
                <c:pt idx="3">
                  <c:v>28</c:v>
                </c:pt>
                <c:pt idx="4">
                  <c:v>10</c:v>
                </c:pt>
              </c:numCache>
            </c:numRef>
          </c:val>
          <c:extLst>
            <c:ext xmlns:c16="http://schemas.microsoft.com/office/drawing/2014/chart" uri="{C3380CC4-5D6E-409C-BE32-E72D297353CC}">
              <c16:uniqueId val="{00000000-C3D2-49AF-87B1-34140C26A2A4}"/>
            </c:ext>
          </c:extLst>
        </c:ser>
        <c:dLbls>
          <c:showLegendKey val="0"/>
          <c:showVal val="0"/>
          <c:showCatName val="0"/>
          <c:showSerName val="0"/>
          <c:showPercent val="0"/>
          <c:showBubbleSize val="0"/>
        </c:dLbls>
        <c:gapWidth val="219"/>
        <c:overlap val="-27"/>
        <c:axId val="1358958656"/>
        <c:axId val="1358964416"/>
      </c:barChart>
      <c:lineChart>
        <c:grouping val="standard"/>
        <c:varyColors val="0"/>
        <c:ser>
          <c:idx val="1"/>
          <c:order val="1"/>
          <c:tx>
            <c:strRef>
              <c:f>Analysis!$Q$18</c:f>
              <c:strCache>
                <c:ptCount val="1"/>
                <c:pt idx="0">
                  <c:v>Sum of Eligible Bonus</c:v>
                </c:pt>
              </c:strCache>
            </c:strRef>
          </c:tx>
          <c:spPr>
            <a:ln w="28575" cap="rnd">
              <a:solidFill>
                <a:schemeClr val="accent2"/>
              </a:solidFill>
              <a:round/>
            </a:ln>
            <a:effectLst/>
          </c:spPr>
          <c:marker>
            <c:symbol val="none"/>
          </c:marker>
          <c:cat>
            <c:strRef>
              <c:f>Analysis!$O$19:$O$24</c:f>
              <c:strCache>
                <c:ptCount val="5"/>
                <c:pt idx="0">
                  <c:v>Achieving</c:v>
                </c:pt>
                <c:pt idx="1">
                  <c:v>Developing</c:v>
                </c:pt>
                <c:pt idx="2">
                  <c:v>Exceeding</c:v>
                </c:pt>
                <c:pt idx="3">
                  <c:v>Needs Improvement</c:v>
                </c:pt>
                <c:pt idx="4">
                  <c:v>Outstanding</c:v>
                </c:pt>
              </c:strCache>
            </c:strRef>
          </c:cat>
          <c:val>
            <c:numRef>
              <c:f>Analysis!$Q$19:$Q$24</c:f>
              <c:numCache>
                <c:formatCode>0.00%</c:formatCode>
                <c:ptCount val="5"/>
                <c:pt idx="0">
                  <c:v>0.37804729850130231</c:v>
                </c:pt>
                <c:pt idx="1">
                  <c:v>0.14865819317175885</c:v>
                </c:pt>
                <c:pt idx="2">
                  <c:v>0.28949851730121823</c:v>
                </c:pt>
                <c:pt idx="3">
                  <c:v>0</c:v>
                </c:pt>
                <c:pt idx="4">
                  <c:v>0.18379599102572061</c:v>
                </c:pt>
              </c:numCache>
            </c:numRef>
          </c:val>
          <c:smooth val="0"/>
          <c:extLst>
            <c:ext xmlns:c16="http://schemas.microsoft.com/office/drawing/2014/chart" uri="{C3380CC4-5D6E-409C-BE32-E72D297353CC}">
              <c16:uniqueId val="{00000001-C3D2-49AF-87B1-34140C26A2A4}"/>
            </c:ext>
          </c:extLst>
        </c:ser>
        <c:dLbls>
          <c:showLegendKey val="0"/>
          <c:showVal val="0"/>
          <c:showCatName val="0"/>
          <c:showSerName val="0"/>
          <c:showPercent val="0"/>
          <c:showBubbleSize val="0"/>
        </c:dLbls>
        <c:marker val="1"/>
        <c:smooth val="0"/>
        <c:axId val="1108541056"/>
        <c:axId val="1108542496"/>
      </c:lineChart>
      <c:catAx>
        <c:axId val="110854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8542496"/>
        <c:crosses val="autoZero"/>
        <c:auto val="1"/>
        <c:lblAlgn val="ctr"/>
        <c:lblOffset val="100"/>
        <c:noMultiLvlLbl val="0"/>
      </c:catAx>
      <c:valAx>
        <c:axId val="11085424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8541056"/>
        <c:crosses val="autoZero"/>
        <c:crossBetween val="between"/>
      </c:valAx>
      <c:valAx>
        <c:axId val="13589644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8958656"/>
        <c:crosses val="max"/>
        <c:crossBetween val="between"/>
      </c:valAx>
      <c:catAx>
        <c:axId val="1358958656"/>
        <c:scaling>
          <c:orientation val="minMax"/>
        </c:scaling>
        <c:delete val="1"/>
        <c:axPos val="b"/>
        <c:numFmt formatCode="General" sourceLinked="1"/>
        <c:majorTickMark val="out"/>
        <c:minorTickMark val="none"/>
        <c:tickLblPos val="nextTo"/>
        <c:crossAx val="13589644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[HR_Analytics_Capstone_Raw_Data.xlsx]Analysis!PivotTable13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of performance score</a:t>
            </a:r>
          </a:p>
        </c:rich>
      </c:tx>
      <c:layout>
        <c:manualLayout>
          <c:xMode val="edge"/>
          <c:yMode val="edge"/>
          <c:x val="0.17461424343976467"/>
          <c:y val="5.47667561477839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pivotFmt>
      <c:pivotFmt>
        <c:idx val="8"/>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Analysis!$S$5</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68-426A-BEFC-3CA0ED209C75}"/>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68-426A-BEFC-3CA0ED209C75}"/>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68-426A-BEFC-3CA0ED209C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Analysis!$R$6:$R$9</c:f>
              <c:strCache>
                <c:ptCount val="3"/>
                <c:pt idx="0">
                  <c:v>ACTIVE</c:v>
                </c:pt>
                <c:pt idx="1">
                  <c:v>LEFT</c:v>
                </c:pt>
                <c:pt idx="2">
                  <c:v>RESIGNED</c:v>
                </c:pt>
              </c:strCache>
            </c:strRef>
          </c:cat>
          <c:val>
            <c:numRef>
              <c:f>Analysis!$S$6:$S$9</c:f>
              <c:numCache>
                <c:formatCode>General</c:formatCode>
                <c:ptCount val="3"/>
                <c:pt idx="0">
                  <c:v>67.939655172413794</c:v>
                </c:pt>
                <c:pt idx="1">
                  <c:v>66.083333333333329</c:v>
                </c:pt>
                <c:pt idx="2">
                  <c:v>76.400000000000006</c:v>
                </c:pt>
              </c:numCache>
            </c:numRef>
          </c:val>
          <c:extLst>
            <c:ext xmlns:c16="http://schemas.microsoft.com/office/drawing/2014/chart" uri="{C3380CC4-5D6E-409C-BE32-E72D297353CC}">
              <c16:uniqueId val="{00000006-B768-426A-BEFC-3CA0ED209C7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704358855305022"/>
          <c:y val="0.48743598865853788"/>
          <c:w val="0.21636145300403592"/>
          <c:h val="0.2344717918863266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[HR_Analytics_Capstone_Raw_Data.xlsx]Analysis!PivotTable19</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Attrition Rate by Salary</a:t>
            </a:r>
          </a:p>
        </c:rich>
      </c:tx>
      <c:layout>
        <c:manualLayout>
          <c:xMode val="edge"/>
          <c:yMode val="edge"/>
          <c:x val="0.40821443023658627"/>
          <c:y val="2.64991898612799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570178942514028E-2"/>
          <c:y val="0.14112443210864234"/>
          <c:w val="0.87121845990951385"/>
          <c:h val="0.50580671620883966"/>
        </c:manualLayout>
      </c:layout>
      <c:barChart>
        <c:barDir val="col"/>
        <c:grouping val="clustered"/>
        <c:varyColors val="0"/>
        <c:ser>
          <c:idx val="0"/>
          <c:order val="0"/>
          <c:tx>
            <c:strRef>
              <c:f>Analysis!$Q$27:$Q$28</c:f>
              <c:strCache>
                <c:ptCount val="1"/>
                <c:pt idx="0">
                  <c:v>LEFT</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Analysis!$P$29:$P$35</c:f>
              <c:strCache>
                <c:ptCount val="6"/>
                <c:pt idx="0">
                  <c:v>Finance</c:v>
                </c:pt>
                <c:pt idx="1">
                  <c:v>Human Resources</c:v>
                </c:pt>
                <c:pt idx="2">
                  <c:v>Information Technology</c:v>
                </c:pt>
                <c:pt idx="3">
                  <c:v>Marketing</c:v>
                </c:pt>
                <c:pt idx="4">
                  <c:v>Operations</c:v>
                </c:pt>
                <c:pt idx="5">
                  <c:v>Sales</c:v>
                </c:pt>
              </c:strCache>
            </c:strRef>
          </c:cat>
          <c:val>
            <c:numRef>
              <c:f>Analysis!$Q$29:$Q$35</c:f>
              <c:numCache>
                <c:formatCode>General</c:formatCode>
                <c:ptCount val="6"/>
                <c:pt idx="0">
                  <c:v>3</c:v>
                </c:pt>
                <c:pt idx="1">
                  <c:v>2</c:v>
                </c:pt>
                <c:pt idx="2">
                  <c:v>6</c:v>
                </c:pt>
                <c:pt idx="3">
                  <c:v>3</c:v>
                </c:pt>
                <c:pt idx="4">
                  <c:v>6</c:v>
                </c:pt>
                <c:pt idx="5">
                  <c:v>4</c:v>
                </c:pt>
              </c:numCache>
            </c:numRef>
          </c:val>
          <c:extLst>
            <c:ext xmlns:c16="http://schemas.microsoft.com/office/drawing/2014/chart" uri="{C3380CC4-5D6E-409C-BE32-E72D297353CC}">
              <c16:uniqueId val="{00000000-A943-4136-BF44-FE6C58EFE59D}"/>
            </c:ext>
          </c:extLst>
        </c:ser>
        <c:ser>
          <c:idx val="1"/>
          <c:order val="1"/>
          <c:tx>
            <c:strRef>
              <c:f>Analysis!$R$27:$R$28</c:f>
              <c:strCache>
                <c:ptCount val="1"/>
                <c:pt idx="0">
                  <c:v>RESIGNED</c:v>
                </c:pt>
              </c:strCache>
            </c:strRef>
          </c:tx>
          <c:spPr>
            <a:solidFill>
              <a:schemeClr val="accent4">
                <a:lumMod val="40000"/>
                <a:lumOff val="60000"/>
              </a:schemeClr>
            </a:solidFill>
            <a:ln>
              <a:noFill/>
            </a:ln>
            <a:effectLst/>
          </c:spPr>
          <c:invertIfNegative val="0"/>
          <c:cat>
            <c:strRef>
              <c:f>Analysis!$P$29:$P$35</c:f>
              <c:strCache>
                <c:ptCount val="6"/>
                <c:pt idx="0">
                  <c:v>Finance</c:v>
                </c:pt>
                <c:pt idx="1">
                  <c:v>Human Resources</c:v>
                </c:pt>
                <c:pt idx="2">
                  <c:v>Information Technology</c:v>
                </c:pt>
                <c:pt idx="3">
                  <c:v>Marketing</c:v>
                </c:pt>
                <c:pt idx="4">
                  <c:v>Operations</c:v>
                </c:pt>
                <c:pt idx="5">
                  <c:v>Sales</c:v>
                </c:pt>
              </c:strCache>
            </c:strRef>
          </c:cat>
          <c:val>
            <c:numRef>
              <c:f>Analysis!$R$29:$R$35</c:f>
              <c:numCache>
                <c:formatCode>General</c:formatCode>
                <c:ptCount val="6"/>
                <c:pt idx="1">
                  <c:v>1</c:v>
                </c:pt>
                <c:pt idx="2">
                  <c:v>2</c:v>
                </c:pt>
                <c:pt idx="4">
                  <c:v>5</c:v>
                </c:pt>
                <c:pt idx="5">
                  <c:v>2</c:v>
                </c:pt>
              </c:numCache>
            </c:numRef>
          </c:val>
          <c:extLst>
            <c:ext xmlns:c16="http://schemas.microsoft.com/office/drawing/2014/chart" uri="{C3380CC4-5D6E-409C-BE32-E72D297353CC}">
              <c16:uniqueId val="{00000013-B613-4C8E-BE04-277F7F3AE40A}"/>
            </c:ext>
          </c:extLst>
        </c:ser>
        <c:dLbls>
          <c:showLegendKey val="0"/>
          <c:showVal val="0"/>
          <c:showCatName val="0"/>
          <c:showSerName val="0"/>
          <c:showPercent val="0"/>
          <c:showBubbleSize val="0"/>
        </c:dLbls>
        <c:gapWidth val="219"/>
        <c:overlap val="-27"/>
        <c:axId val="1358965856"/>
        <c:axId val="1358951456"/>
      </c:barChart>
      <c:catAx>
        <c:axId val="135896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8951456"/>
        <c:crosses val="autoZero"/>
        <c:auto val="1"/>
        <c:lblAlgn val="ctr"/>
        <c:lblOffset val="100"/>
        <c:noMultiLvlLbl val="0"/>
      </c:catAx>
      <c:valAx>
        <c:axId val="1358951456"/>
        <c:scaling>
          <c:orientation val="minMax"/>
        </c:scaling>
        <c:delete val="1"/>
        <c:axPos val="l"/>
        <c:numFmt formatCode="General" sourceLinked="1"/>
        <c:majorTickMark val="none"/>
        <c:minorTickMark val="none"/>
        <c:tickLblPos val="nextTo"/>
        <c:crossAx val="1358965856"/>
        <c:crosses val="autoZero"/>
        <c:crossBetween val="between"/>
      </c:valAx>
      <c:spPr>
        <a:noFill/>
        <a:ln>
          <a:noFill/>
        </a:ln>
        <a:effectLst/>
      </c:spPr>
    </c:plotArea>
    <c:legend>
      <c:legendPos val="r"/>
      <c:layout>
        <c:manualLayout>
          <c:xMode val="edge"/>
          <c:yMode val="edge"/>
          <c:x val="0.7626585235775637"/>
          <c:y val="0.80338936913154879"/>
          <c:w val="0.14816700857613749"/>
          <c:h val="0.161882885421143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[HR_Analytics_Capstone_Raw_Data.xlsx]Analysis!PivotTable18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Bonus by Performance</a:t>
            </a:r>
          </a:p>
        </c:rich>
      </c:tx>
      <c:layout>
        <c:manualLayout>
          <c:xMode val="edge"/>
          <c:yMode val="edge"/>
          <c:x val="0.32810388879548485"/>
          <c:y val="6.35652168227707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65BB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Analysis!$P$18</c:f>
              <c:strCache>
                <c:ptCount val="1"/>
                <c:pt idx="0">
                  <c:v>Count of Emp ID</c:v>
                </c:pt>
              </c:strCache>
            </c:strRef>
          </c:tx>
          <c:spPr>
            <a:solidFill>
              <a:srgbClr val="765BB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Analysis!$O$19:$O$24</c:f>
              <c:strCache>
                <c:ptCount val="5"/>
                <c:pt idx="0">
                  <c:v>Achieving</c:v>
                </c:pt>
                <c:pt idx="1">
                  <c:v>Developing</c:v>
                </c:pt>
                <c:pt idx="2">
                  <c:v>Exceeding</c:v>
                </c:pt>
                <c:pt idx="3">
                  <c:v>Needs Improvement</c:v>
                </c:pt>
                <c:pt idx="4">
                  <c:v>Outstanding</c:v>
                </c:pt>
              </c:strCache>
            </c:strRef>
          </c:cat>
          <c:val>
            <c:numRef>
              <c:f>Analysis!$P$19:$P$24</c:f>
              <c:numCache>
                <c:formatCode>General</c:formatCode>
                <c:ptCount val="5"/>
                <c:pt idx="0">
                  <c:v>47</c:v>
                </c:pt>
                <c:pt idx="1">
                  <c:v>43</c:v>
                </c:pt>
                <c:pt idx="2">
                  <c:v>22</c:v>
                </c:pt>
                <c:pt idx="3">
                  <c:v>28</c:v>
                </c:pt>
                <c:pt idx="4">
                  <c:v>10</c:v>
                </c:pt>
              </c:numCache>
            </c:numRef>
          </c:val>
          <c:extLst>
            <c:ext xmlns:c16="http://schemas.microsoft.com/office/drawing/2014/chart" uri="{C3380CC4-5D6E-409C-BE32-E72D297353CC}">
              <c16:uniqueId val="{00000000-F4BB-4828-97F1-CBB5F6191D62}"/>
            </c:ext>
          </c:extLst>
        </c:ser>
        <c:dLbls>
          <c:showLegendKey val="0"/>
          <c:showVal val="1"/>
          <c:showCatName val="0"/>
          <c:showSerName val="0"/>
          <c:showPercent val="0"/>
          <c:showBubbleSize val="0"/>
        </c:dLbls>
        <c:gapWidth val="269"/>
        <c:overlap val="-27"/>
        <c:axId val="1358958656"/>
        <c:axId val="1358964416"/>
      </c:barChart>
      <c:lineChart>
        <c:grouping val="standard"/>
        <c:varyColors val="0"/>
        <c:ser>
          <c:idx val="1"/>
          <c:order val="1"/>
          <c:tx>
            <c:strRef>
              <c:f>Analysis!$Q$18</c:f>
              <c:strCache>
                <c:ptCount val="1"/>
                <c:pt idx="0">
                  <c:v>Sum of Eligible Bonus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Analysis!$O$19:$O$24</c:f>
              <c:strCache>
                <c:ptCount val="5"/>
                <c:pt idx="0">
                  <c:v>Achieving</c:v>
                </c:pt>
                <c:pt idx="1">
                  <c:v>Developing</c:v>
                </c:pt>
                <c:pt idx="2">
                  <c:v>Exceeding</c:v>
                </c:pt>
                <c:pt idx="3">
                  <c:v>Needs Improvement</c:v>
                </c:pt>
                <c:pt idx="4">
                  <c:v>Outstanding</c:v>
                </c:pt>
              </c:strCache>
            </c:strRef>
          </c:cat>
          <c:val>
            <c:numRef>
              <c:f>Analysis!$Q$19:$Q$24</c:f>
              <c:numCache>
                <c:formatCode>0.00%</c:formatCode>
                <c:ptCount val="5"/>
                <c:pt idx="0">
                  <c:v>0.37804729850130231</c:v>
                </c:pt>
                <c:pt idx="1">
                  <c:v>0.14865819317175885</c:v>
                </c:pt>
                <c:pt idx="2">
                  <c:v>0.28949851730121823</c:v>
                </c:pt>
                <c:pt idx="3">
                  <c:v>0</c:v>
                </c:pt>
                <c:pt idx="4">
                  <c:v>0.18379599102572061</c:v>
                </c:pt>
              </c:numCache>
            </c:numRef>
          </c:val>
          <c:smooth val="0"/>
          <c:extLst>
            <c:ext xmlns:c16="http://schemas.microsoft.com/office/drawing/2014/chart" uri="{C3380CC4-5D6E-409C-BE32-E72D297353CC}">
              <c16:uniqueId val="{00000001-F4BB-4828-97F1-CBB5F6191D62}"/>
            </c:ext>
          </c:extLst>
        </c:ser>
        <c:dLbls>
          <c:showLegendKey val="0"/>
          <c:showVal val="1"/>
          <c:showCatName val="0"/>
          <c:showSerName val="0"/>
          <c:showPercent val="0"/>
          <c:showBubbleSize val="0"/>
        </c:dLbls>
        <c:marker val="1"/>
        <c:smooth val="0"/>
        <c:axId val="1108541056"/>
        <c:axId val="1108542496"/>
      </c:lineChart>
      <c:catAx>
        <c:axId val="1108541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8542496"/>
        <c:crosses val="autoZero"/>
        <c:auto val="1"/>
        <c:lblAlgn val="ctr"/>
        <c:lblOffset val="100"/>
        <c:noMultiLvlLbl val="0"/>
      </c:catAx>
      <c:valAx>
        <c:axId val="110854249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8541056"/>
        <c:crosses val="autoZero"/>
        <c:crossBetween val="between"/>
      </c:valAx>
      <c:valAx>
        <c:axId val="135896441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958656"/>
        <c:crosses val="max"/>
        <c:crossBetween val="between"/>
      </c:valAx>
      <c:catAx>
        <c:axId val="1358958656"/>
        <c:scaling>
          <c:orientation val="minMax"/>
        </c:scaling>
        <c:delete val="1"/>
        <c:axPos val="b"/>
        <c:numFmt formatCode="General" sourceLinked="1"/>
        <c:majorTickMark val="none"/>
        <c:minorTickMark val="none"/>
        <c:tickLblPos val="nextTo"/>
        <c:crossAx val="13589644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[HR_Analytics_Capstone_Raw_Data.xlsx]Analysis!PivotTable9</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Distrinution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16258358250494"/>
          <c:y val="0.18436379891409702"/>
          <c:w val="0.89283741641749503"/>
          <c:h val="0.65181773700104284"/>
        </c:manualLayout>
      </c:layout>
      <c:barChart>
        <c:barDir val="col"/>
        <c:grouping val="clustered"/>
        <c:varyColors val="0"/>
        <c:ser>
          <c:idx val="0"/>
          <c:order val="0"/>
          <c:tx>
            <c:strRef>
              <c:f>Analysis!$B$18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Analysis!$A$19:$A$20</c:f>
              <c:strCache>
                <c:ptCount val="1"/>
                <c:pt idx="0">
                  <c:v>EMP011</c:v>
                </c:pt>
              </c:strCache>
            </c:strRef>
          </c:cat>
          <c:val>
            <c:numRef>
              <c:f>Analysis!$B$19:$B$20</c:f>
              <c:numCache>
                <c:formatCode>General</c:formatCode>
                <c:ptCount val="1"/>
                <c:pt idx="0">
                  <c:v>103891</c:v>
                </c:pt>
              </c:numCache>
            </c:numRef>
          </c:val>
          <c:extLst>
            <c:ext xmlns:c16="http://schemas.microsoft.com/office/drawing/2014/chart" uri="{C3380CC4-5D6E-409C-BE32-E72D297353CC}">
              <c16:uniqueId val="{00000000-45B5-4973-BFB5-982A2EEF9364}"/>
            </c:ext>
          </c:extLst>
        </c:ser>
        <c:dLbls>
          <c:dLblPos val="outEnd"/>
          <c:showLegendKey val="0"/>
          <c:showVal val="1"/>
          <c:showCatName val="0"/>
          <c:showSerName val="0"/>
          <c:showPercent val="0"/>
          <c:showBubbleSize val="0"/>
        </c:dLbls>
        <c:gapWidth val="100"/>
        <c:overlap val="-24"/>
        <c:axId val="1359992816"/>
        <c:axId val="1360002416"/>
      </c:barChart>
      <c:catAx>
        <c:axId val="1359992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0002416"/>
        <c:crosses val="autoZero"/>
        <c:auto val="1"/>
        <c:lblAlgn val="ctr"/>
        <c:lblOffset val="100"/>
        <c:noMultiLvlLbl val="0"/>
      </c:catAx>
      <c:valAx>
        <c:axId val="136000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99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1486887694701156E-2"/>
              <c:y val="-4.729063305680425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9358609618376478E-2"/>
              <c:y val="2.9556645660502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7.8717219236752525E-3"/>
              <c:y val="-4.137930392470363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1486887694701156E-2"/>
              <c:y val="-4.729063305680425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9358609618376478E-2"/>
              <c:y val="2.9556645660502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7.8717219236752525E-3"/>
              <c:y val="-4.137930392470363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65BB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1486887694701156E-2"/>
              <c:y val="-4.7290633056804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9358609618376478E-2"/>
              <c:y val="2.9556645660502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76528587969E-3"/>
              <c:y val="-8.29067522773902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Analysis!$I$8</c:f>
              <c:strCache>
                <c:ptCount val="1"/>
                <c:pt idx="0">
                  <c:v>Total</c:v>
                </c:pt>
              </c:strCache>
            </c:strRef>
          </c:tx>
          <c:dPt>
            <c:idx val="0"/>
            <c:bubble3D val="0"/>
            <c:spPr>
              <a:solidFill>
                <a:srgbClr val="765BB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7B9-4A28-A56F-F16456CBEDD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7B9-4A28-A56F-F16456CBEDD9}"/>
              </c:ext>
            </c:extLst>
          </c:dPt>
          <c:dPt>
            <c:idx val="2"/>
            <c:bubble3D val="0"/>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7B9-4A28-A56F-F16456CBEDD9}"/>
              </c:ext>
            </c:extLst>
          </c:dPt>
          <c:dLbls>
            <c:dLbl>
              <c:idx val="0"/>
              <c:layout>
                <c:manualLayout>
                  <c:x val="3.1486887694701156E-2"/>
                  <c:y val="-4.72906330568042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B9-4A28-A56F-F16456CBEDD9}"/>
                </c:ext>
              </c:extLst>
            </c:dLbl>
            <c:dLbl>
              <c:idx val="1"/>
              <c:layout>
                <c:manualLayout>
                  <c:x val="-3.9358609618376478E-2"/>
                  <c:y val="2.9556645660502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B9-4A28-A56F-F16456CBEDD9}"/>
                </c:ext>
              </c:extLst>
            </c:dLbl>
            <c:dLbl>
              <c:idx val="2"/>
              <c:layout>
                <c:manualLayout>
                  <c:x val="5.555576528587969E-3"/>
                  <c:y val="-8.29067522773902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B9-4A28-A56F-F16456CBED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Analysis!$H$9:$H$12</c:f>
              <c:strCache>
                <c:ptCount val="3"/>
                <c:pt idx="0">
                  <c:v>ACTIVE</c:v>
                </c:pt>
                <c:pt idx="1">
                  <c:v>LEFT</c:v>
                </c:pt>
                <c:pt idx="2">
                  <c:v>RESIGNED</c:v>
                </c:pt>
              </c:strCache>
            </c:strRef>
          </c:cat>
          <c:val>
            <c:numRef>
              <c:f>Analysis!$I$9:$I$12</c:f>
              <c:numCache>
                <c:formatCode>0.00%</c:formatCode>
                <c:ptCount val="3"/>
                <c:pt idx="0">
                  <c:v>0.77503058613990805</c:v>
                </c:pt>
                <c:pt idx="1">
                  <c:v>0.1527740589317762</c:v>
                </c:pt>
                <c:pt idx="2">
                  <c:v>7.2195354928315705E-2</c:v>
                </c:pt>
              </c:numCache>
            </c:numRef>
          </c:val>
          <c:extLst>
            <c:ext xmlns:c16="http://schemas.microsoft.com/office/drawing/2014/chart" uri="{C3380CC4-5D6E-409C-BE32-E72D297353CC}">
              <c16:uniqueId val="{00000006-37B9-4A28-A56F-F16456CBEDD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82414669569572"/>
          <c:y val="0.45425641550630425"/>
          <c:w val="0.16436176036129221"/>
          <c:h val="0.234460750576173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[HR_Analytics_Capstone_Raw_Data.xlsx]Analysis!PivotTable6</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4"/>
                </a:solidFill>
              </a:ln>
              <a:effectLst/>
            </c:spPr>
            <c:trendlineType val="linear"/>
            <c:dispRSqr val="0"/>
            <c:dispEq val="0"/>
          </c:trendline>
          <c:cat>
            <c:strRef>
              <c:f>Analysis!$A$9:$A$15</c:f>
              <c:strCache>
                <c:ptCount val="6"/>
                <c:pt idx="0">
                  <c:v>Finance</c:v>
                </c:pt>
                <c:pt idx="1">
                  <c:v>Human Resources</c:v>
                </c:pt>
                <c:pt idx="2">
                  <c:v>Information Technology</c:v>
                </c:pt>
                <c:pt idx="3">
                  <c:v>Marketing</c:v>
                </c:pt>
                <c:pt idx="4">
                  <c:v>Operations</c:v>
                </c:pt>
                <c:pt idx="5">
                  <c:v>Sales</c:v>
                </c:pt>
              </c:strCache>
            </c:strRef>
          </c:cat>
          <c:val>
            <c:numRef>
              <c:f>Analysis!$B$9:$B$15</c:f>
              <c:numCache>
                <c:formatCode>0.00%</c:formatCode>
                <c:ptCount val="6"/>
                <c:pt idx="0">
                  <c:v>0.11964286102081097</c:v>
                </c:pt>
                <c:pt idx="1">
                  <c:v>0.12400470878962534</c:v>
                </c:pt>
                <c:pt idx="2">
                  <c:v>0.23015789775514503</c:v>
                </c:pt>
                <c:pt idx="3">
                  <c:v>0.13047249805134256</c:v>
                </c:pt>
                <c:pt idx="4">
                  <c:v>0.18431761680422756</c:v>
                </c:pt>
                <c:pt idx="5">
                  <c:v>0.21140441757884854</c:v>
                </c:pt>
              </c:numCache>
            </c:numRef>
          </c:val>
          <c:extLst>
            <c:ext xmlns:c16="http://schemas.microsoft.com/office/drawing/2014/chart" uri="{C3380CC4-5D6E-409C-BE32-E72D297353CC}">
              <c16:uniqueId val="{00000001-E744-4426-A444-355EB0FD27A0}"/>
            </c:ext>
          </c:extLst>
        </c:ser>
        <c:dLbls>
          <c:dLblPos val="outEnd"/>
          <c:showLegendKey val="0"/>
          <c:showVal val="1"/>
          <c:showCatName val="0"/>
          <c:showSerName val="0"/>
          <c:showPercent val="0"/>
          <c:showBubbleSize val="0"/>
        </c:dLbls>
        <c:gapWidth val="100"/>
        <c:overlap val="-24"/>
        <c:axId val="1196678720"/>
        <c:axId val="1196690240"/>
      </c:barChart>
      <c:catAx>
        <c:axId val="11966787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6690240"/>
        <c:crosses val="autoZero"/>
        <c:auto val="1"/>
        <c:lblAlgn val="ctr"/>
        <c:lblOffset val="100"/>
        <c:noMultiLvlLbl val="0"/>
      </c:catAx>
      <c:valAx>
        <c:axId val="1196690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667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[HR_Analytics_Capstone_Raw_Data.xlsx]Analysis!PivotTable15</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Eligible bonus by performance band</a:t>
            </a:r>
          </a:p>
        </c:rich>
      </c:tx>
      <c:layout>
        <c:manualLayout>
          <c:xMode val="edge"/>
          <c:yMode val="edge"/>
          <c:x val="0.32595779272530201"/>
          <c:y val="6.97799320910526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82550"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82550" cap="rnd">
            <a:solidFill>
              <a:srgbClr val="7030A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6"/>
        <c:spPr>
          <a:ln w="82550" cap="rnd">
            <a:solidFill>
              <a:srgbClr val="7030A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
        <c:spPr>
          <a:ln w="82550" cap="rnd">
            <a:solidFill>
              <a:srgbClr val="7030A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8"/>
        <c:spPr>
          <a:ln w="82550" cap="rnd">
            <a:solidFill>
              <a:srgbClr val="7030A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Analysis!$K$27</c:f>
              <c:strCache>
                <c:ptCount val="1"/>
                <c:pt idx="0">
                  <c:v>Total</c:v>
                </c:pt>
              </c:strCache>
            </c:strRef>
          </c:tx>
          <c:spPr>
            <a:ln w="82550"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82550" cap="rnd">
                <a:solidFill>
                  <a:srgbClr val="7030A0"/>
                </a:solidFill>
              </a:ln>
              <a:effectLst>
                <a:glow rad="139700">
                  <a:schemeClr val="accent1">
                    <a:satMod val="175000"/>
                    <a:alpha val="14000"/>
                  </a:schemeClr>
                </a:glow>
              </a:effectLst>
            </c:spPr>
            <c:extLst>
              <c:ext xmlns:c16="http://schemas.microsoft.com/office/drawing/2014/chart" uri="{C3380CC4-5D6E-409C-BE32-E72D297353CC}">
                <c16:uniqueId val="{00000006-FAD9-466E-B234-71F9CA67A1AC}"/>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82550" cap="rnd">
                <a:solidFill>
                  <a:srgbClr val="7030A0"/>
                </a:solidFill>
              </a:ln>
              <a:effectLst>
                <a:glow rad="139700">
                  <a:schemeClr val="accent1">
                    <a:satMod val="175000"/>
                    <a:alpha val="14000"/>
                  </a:schemeClr>
                </a:glow>
              </a:effectLst>
            </c:spPr>
            <c:extLst>
              <c:ext xmlns:c16="http://schemas.microsoft.com/office/drawing/2014/chart" uri="{C3380CC4-5D6E-409C-BE32-E72D297353CC}">
                <c16:uniqueId val="{00000003-FAD9-466E-B234-71F9CA67A1AC}"/>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82550" cap="rnd">
                <a:solidFill>
                  <a:srgbClr val="7030A0"/>
                </a:solidFill>
              </a:ln>
              <a:effectLst>
                <a:glow rad="139700">
                  <a:schemeClr val="accent1">
                    <a:satMod val="175000"/>
                    <a:alpha val="14000"/>
                  </a:schemeClr>
                </a:glow>
              </a:effectLst>
            </c:spPr>
            <c:extLst>
              <c:ext xmlns:c16="http://schemas.microsoft.com/office/drawing/2014/chart" uri="{C3380CC4-5D6E-409C-BE32-E72D297353CC}">
                <c16:uniqueId val="{00000004-FAD9-466E-B234-71F9CA67A1AC}"/>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82550" cap="rnd">
                <a:solidFill>
                  <a:srgbClr val="7030A0"/>
                </a:solidFill>
              </a:ln>
              <a:effectLst>
                <a:glow rad="139700">
                  <a:schemeClr val="accent1">
                    <a:satMod val="175000"/>
                    <a:alpha val="14000"/>
                  </a:schemeClr>
                </a:glow>
              </a:effectLst>
            </c:spPr>
            <c:extLst>
              <c:ext xmlns:c16="http://schemas.microsoft.com/office/drawing/2014/chart" uri="{C3380CC4-5D6E-409C-BE32-E72D297353CC}">
                <c16:uniqueId val="{00000005-FAD9-466E-B234-71F9CA67A1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Analysis!$J$28:$J$33</c:f>
              <c:strCache>
                <c:ptCount val="5"/>
                <c:pt idx="0">
                  <c:v>Achieving</c:v>
                </c:pt>
                <c:pt idx="1">
                  <c:v>Developing</c:v>
                </c:pt>
                <c:pt idx="2">
                  <c:v>Exceeding</c:v>
                </c:pt>
                <c:pt idx="3">
                  <c:v>Needs Improvement</c:v>
                </c:pt>
                <c:pt idx="4">
                  <c:v>Outstanding</c:v>
                </c:pt>
              </c:strCache>
            </c:strRef>
          </c:cat>
          <c:val>
            <c:numRef>
              <c:f>Analysis!$K$28:$K$33</c:f>
              <c:numCache>
                <c:formatCode>0.00%</c:formatCode>
                <c:ptCount val="5"/>
                <c:pt idx="0">
                  <c:v>0.37804729850130231</c:v>
                </c:pt>
                <c:pt idx="1">
                  <c:v>0.14865819317175885</c:v>
                </c:pt>
                <c:pt idx="2">
                  <c:v>0.28949851730121823</c:v>
                </c:pt>
                <c:pt idx="3">
                  <c:v>0</c:v>
                </c:pt>
                <c:pt idx="4">
                  <c:v>0.18379599102572061</c:v>
                </c:pt>
              </c:numCache>
            </c:numRef>
          </c:val>
          <c:smooth val="0"/>
          <c:extLst>
            <c:ext xmlns:c16="http://schemas.microsoft.com/office/drawing/2014/chart" uri="{C3380CC4-5D6E-409C-BE32-E72D297353CC}">
              <c16:uniqueId val="{00000000-E3C3-4497-AEEB-237A2B33BDA8}"/>
            </c:ext>
          </c:extLst>
        </c:ser>
        <c:dLbls>
          <c:dLblPos val="t"/>
          <c:showLegendKey val="0"/>
          <c:showVal val="1"/>
          <c:showCatName val="0"/>
          <c:showSerName val="0"/>
          <c:showPercent val="0"/>
          <c:showBubbleSize val="0"/>
        </c:dLbls>
        <c:marker val="1"/>
        <c:smooth val="0"/>
        <c:axId val="1106243152"/>
        <c:axId val="1109235600"/>
      </c:lineChart>
      <c:catAx>
        <c:axId val="110624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9235600"/>
        <c:crosses val="autoZero"/>
        <c:auto val="1"/>
        <c:lblAlgn val="ctr"/>
        <c:lblOffset val="100"/>
        <c:noMultiLvlLbl val="0"/>
      </c:catAx>
      <c:valAx>
        <c:axId val="11092356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6243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[HR_Analytics_Capstone_Raw_Data.xlsx]Analysis!PivotTable19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Rate by Salary</a:t>
            </a:r>
          </a:p>
        </c:rich>
      </c:tx>
      <c:layout>
        <c:manualLayout>
          <c:xMode val="edge"/>
          <c:yMode val="edge"/>
          <c:x val="0.30787725260206716"/>
          <c:y val="6.87030743565828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570178942514028E-2"/>
          <c:y val="0.14112443210864234"/>
          <c:w val="0.87121845990951385"/>
          <c:h val="0.50580671620883966"/>
        </c:manualLayout>
      </c:layout>
      <c:barChart>
        <c:barDir val="col"/>
        <c:grouping val="clustered"/>
        <c:varyColors val="0"/>
        <c:ser>
          <c:idx val="0"/>
          <c:order val="0"/>
          <c:tx>
            <c:strRef>
              <c:f>Analysis!$Q$27:$Q$28</c:f>
              <c:strCache>
                <c:ptCount val="1"/>
                <c:pt idx="0">
                  <c:v>LEFT</c:v>
                </c:pt>
              </c:strCache>
            </c:strRef>
          </c:tx>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Analysis!$P$29:$P$35</c:f>
              <c:strCache>
                <c:ptCount val="6"/>
                <c:pt idx="0">
                  <c:v>Finance</c:v>
                </c:pt>
                <c:pt idx="1">
                  <c:v>Human Resources</c:v>
                </c:pt>
                <c:pt idx="2">
                  <c:v>Information Technology</c:v>
                </c:pt>
                <c:pt idx="3">
                  <c:v>Marketing</c:v>
                </c:pt>
                <c:pt idx="4">
                  <c:v>Operations</c:v>
                </c:pt>
                <c:pt idx="5">
                  <c:v>Sales</c:v>
                </c:pt>
              </c:strCache>
            </c:strRef>
          </c:cat>
          <c:val>
            <c:numRef>
              <c:f>Analysis!$Q$29:$Q$35</c:f>
              <c:numCache>
                <c:formatCode>General</c:formatCode>
                <c:ptCount val="6"/>
                <c:pt idx="0">
                  <c:v>3</c:v>
                </c:pt>
                <c:pt idx="1">
                  <c:v>2</c:v>
                </c:pt>
                <c:pt idx="2">
                  <c:v>6</c:v>
                </c:pt>
                <c:pt idx="3">
                  <c:v>3</c:v>
                </c:pt>
                <c:pt idx="4">
                  <c:v>6</c:v>
                </c:pt>
                <c:pt idx="5">
                  <c:v>4</c:v>
                </c:pt>
              </c:numCache>
            </c:numRef>
          </c:val>
          <c:extLst>
            <c:ext xmlns:c16="http://schemas.microsoft.com/office/drawing/2014/chart" uri="{C3380CC4-5D6E-409C-BE32-E72D297353CC}">
              <c16:uniqueId val="{00000000-C140-40FF-B7A3-3B49061BE60D}"/>
            </c:ext>
          </c:extLst>
        </c:ser>
        <c:ser>
          <c:idx val="1"/>
          <c:order val="1"/>
          <c:tx>
            <c:strRef>
              <c:f>Analysis!$R$27:$R$28</c:f>
              <c:strCache>
                <c:ptCount val="1"/>
                <c:pt idx="0">
                  <c:v>RESIGNED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Analysis!$P$29:$P$35</c:f>
              <c:strCache>
                <c:ptCount val="6"/>
                <c:pt idx="0">
                  <c:v>Finance</c:v>
                </c:pt>
                <c:pt idx="1">
                  <c:v>Human Resources</c:v>
                </c:pt>
                <c:pt idx="2">
                  <c:v>Information Technology</c:v>
                </c:pt>
                <c:pt idx="3">
                  <c:v>Marketing</c:v>
                </c:pt>
                <c:pt idx="4">
                  <c:v>Operations</c:v>
                </c:pt>
                <c:pt idx="5">
                  <c:v>Sales</c:v>
                </c:pt>
              </c:strCache>
            </c:strRef>
          </c:cat>
          <c:val>
            <c:numRef>
              <c:f>Analysis!$R$29:$R$35</c:f>
              <c:numCache>
                <c:formatCode>General</c:formatCode>
                <c:ptCount val="6"/>
                <c:pt idx="1">
                  <c:v>1</c:v>
                </c:pt>
                <c:pt idx="2">
                  <c:v>2</c:v>
                </c:pt>
                <c:pt idx="4">
                  <c:v>5</c:v>
                </c:pt>
                <c:pt idx="5">
                  <c:v>2</c:v>
                </c:pt>
              </c:numCache>
            </c:numRef>
          </c:val>
          <c:extLst>
            <c:ext xmlns:c16="http://schemas.microsoft.com/office/drawing/2014/chart" uri="{C3380CC4-5D6E-409C-BE32-E72D297353CC}">
              <c16:uniqueId val="{00000013-8D36-4AF9-8A32-3FBAB7C2C309}"/>
            </c:ext>
          </c:extLst>
        </c:ser>
        <c:dLbls>
          <c:showLegendKey val="0"/>
          <c:showVal val="0"/>
          <c:showCatName val="0"/>
          <c:showSerName val="0"/>
          <c:showPercent val="0"/>
          <c:showBubbleSize val="0"/>
        </c:dLbls>
        <c:gapWidth val="100"/>
        <c:overlap val="-24"/>
        <c:axId val="1358965856"/>
        <c:axId val="1358951456"/>
      </c:barChart>
      <c:catAx>
        <c:axId val="1358965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58951456"/>
        <c:crosses val="autoZero"/>
        <c:auto val="1"/>
        <c:lblAlgn val="ctr"/>
        <c:lblOffset val="100"/>
        <c:noMultiLvlLbl val="0"/>
      </c:catAx>
      <c:valAx>
        <c:axId val="1358951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8965856"/>
        <c:crosses val="autoZero"/>
        <c:crossBetween val="between"/>
      </c:valAx>
      <c:spPr>
        <a:noFill/>
        <a:ln>
          <a:noFill/>
        </a:ln>
        <a:effectLst/>
      </c:spPr>
    </c:plotArea>
    <c:legend>
      <c:legendPos val="r"/>
      <c:layout>
        <c:manualLayout>
          <c:xMode val="edge"/>
          <c:yMode val="edge"/>
          <c:x val="0.60105605339054291"/>
          <c:y val="0.72216557482736232"/>
          <c:w val="0.11958844919816504"/>
          <c:h val="0.115207219682536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4">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hyperlink" Target="#'Cleaned Employee Data'!A1"/><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hyperlink" Target="#'Cleaned Employee Data'!A1"/><Relationship Id="rId1" Type="http://schemas.openxmlformats.org/officeDocument/2006/relationships/hyperlink" Target="#Dashboard!A1"/><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10412</xdr:colOff>
      <xdr:row>0</xdr:row>
      <xdr:rowOff>0</xdr:rowOff>
    </xdr:from>
    <xdr:to>
      <xdr:col>0</xdr:col>
      <xdr:colOff>1143407</xdr:colOff>
      <xdr:row>151</xdr:row>
      <xdr:rowOff>37170</xdr:rowOff>
    </xdr:to>
    <xdr:sp macro="" textlink="">
      <xdr:nvSpPr>
        <xdr:cNvPr id="2" name="Rectangle: Rounded Corners 1">
          <a:extLst>
            <a:ext uri="{FF2B5EF4-FFF2-40B4-BE49-F238E27FC236}">
              <a16:creationId xmlns:a16="http://schemas.microsoft.com/office/drawing/2014/main" id="{F45ADFAA-D17F-4164-8D18-A3DDDD42AB45}"/>
            </a:ext>
          </a:extLst>
        </xdr:cNvPr>
        <xdr:cNvSpPr/>
      </xdr:nvSpPr>
      <xdr:spPr>
        <a:xfrm>
          <a:off x="10412" y="0"/>
          <a:ext cx="1132995" cy="28101072"/>
        </a:xfrm>
        <a:prstGeom prst="roundRect">
          <a:avLst>
            <a:gd name="adj" fmla="val 9072"/>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166379</xdr:colOff>
      <xdr:row>1</xdr:row>
      <xdr:rowOff>132507</xdr:rowOff>
    </xdr:from>
    <xdr:to>
      <xdr:col>0</xdr:col>
      <xdr:colOff>944373</xdr:colOff>
      <xdr:row>3</xdr:row>
      <xdr:rowOff>98891</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012E7DE-D9DC-4094-B230-B5C189C32231}"/>
            </a:ext>
          </a:extLst>
        </xdr:cNvPr>
        <xdr:cNvSpPr/>
      </xdr:nvSpPr>
      <xdr:spPr>
        <a:xfrm>
          <a:off x="166379" y="316346"/>
          <a:ext cx="777994" cy="334062"/>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Overview</a:t>
          </a:r>
          <a:endParaRPr lang="en-US" sz="4800" b="1">
            <a:solidFill>
              <a:schemeClr val="tx1"/>
            </a:solidFill>
          </a:endParaRPr>
        </a:p>
      </xdr:txBody>
    </xdr:sp>
    <xdr:clientData/>
  </xdr:twoCellAnchor>
  <xdr:twoCellAnchor>
    <xdr:from>
      <xdr:col>0</xdr:col>
      <xdr:colOff>148737</xdr:colOff>
      <xdr:row>4</xdr:row>
      <xdr:rowOff>15907</xdr:rowOff>
    </xdr:from>
    <xdr:to>
      <xdr:col>0</xdr:col>
      <xdr:colOff>975038</xdr:colOff>
      <xdr:row>5</xdr:row>
      <xdr:rowOff>144335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C3299018-2A36-40FF-8B63-118D09704FC2}"/>
            </a:ext>
          </a:extLst>
        </xdr:cNvPr>
        <xdr:cNvSpPr/>
      </xdr:nvSpPr>
      <xdr:spPr>
        <a:xfrm>
          <a:off x="148737" y="751264"/>
          <a:ext cx="826301" cy="312267"/>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Dataset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42333</xdr:colOff>
      <xdr:row>1</xdr:row>
      <xdr:rowOff>142478</xdr:rowOff>
    </xdr:from>
    <xdr:to>
      <xdr:col>6</xdr:col>
      <xdr:colOff>497075</xdr:colOff>
      <xdr:row>15</xdr:row>
      <xdr:rowOff>57355</xdr:rowOff>
    </xdr:to>
    <xdr:graphicFrame macro="">
      <xdr:nvGraphicFramePr>
        <xdr:cNvPr id="2" name="Chart 1">
          <a:extLst>
            <a:ext uri="{FF2B5EF4-FFF2-40B4-BE49-F238E27FC236}">
              <a16:creationId xmlns:a16="http://schemas.microsoft.com/office/drawing/2014/main" id="{AAF17703-7607-42F4-B958-158DA4DC5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235092</xdr:colOff>
      <xdr:row>17</xdr:row>
      <xdr:rowOff>140768</xdr:rowOff>
    </xdr:from>
    <xdr:to>
      <xdr:col>6</xdr:col>
      <xdr:colOff>268110</xdr:colOff>
      <xdr:row>30</xdr:row>
      <xdr:rowOff>84667</xdr:rowOff>
    </xdr:to>
    <xdr:graphicFrame macro="">
      <xdr:nvGraphicFramePr>
        <xdr:cNvPr id="3" name="Chart 2">
          <a:extLst>
            <a:ext uri="{FF2B5EF4-FFF2-40B4-BE49-F238E27FC236}">
              <a16:creationId xmlns:a16="http://schemas.microsoft.com/office/drawing/2014/main" id="{D1B2DDD8-8072-4D01-86CB-55359402E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42333</xdr:colOff>
      <xdr:row>35</xdr:row>
      <xdr:rowOff>83982</xdr:rowOff>
    </xdr:from>
    <xdr:to>
      <xdr:col>5</xdr:col>
      <xdr:colOff>560916</xdr:colOff>
      <xdr:row>48</xdr:row>
      <xdr:rowOff>63500</xdr:rowOff>
    </xdr:to>
    <xdr:graphicFrame macro="">
      <xdr:nvGraphicFramePr>
        <xdr:cNvPr id="4" name="Chart 3">
          <a:extLst>
            <a:ext uri="{FF2B5EF4-FFF2-40B4-BE49-F238E27FC236}">
              <a16:creationId xmlns:a16="http://schemas.microsoft.com/office/drawing/2014/main" id="{1A6E5B29-7A58-4236-9E91-84F7E557D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10584</xdr:colOff>
      <xdr:row>50</xdr:row>
      <xdr:rowOff>158750</xdr:rowOff>
    </xdr:from>
    <xdr:to>
      <xdr:col>5</xdr:col>
      <xdr:colOff>179917</xdr:colOff>
      <xdr:row>62</xdr:row>
      <xdr:rowOff>105833</xdr:rowOff>
    </xdr:to>
    <xdr:graphicFrame macro="">
      <xdr:nvGraphicFramePr>
        <xdr:cNvPr id="5" name="Chart 4">
          <a:extLst>
            <a:ext uri="{FF2B5EF4-FFF2-40B4-BE49-F238E27FC236}">
              <a16:creationId xmlns:a16="http://schemas.microsoft.com/office/drawing/2014/main" id="{95DBF70E-3BD7-4F6D-A31D-31E5882E7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67734</xdr:colOff>
      <xdr:row>1</xdr:row>
      <xdr:rowOff>58327</xdr:rowOff>
    </xdr:from>
    <xdr:to>
      <xdr:col>15</xdr:col>
      <xdr:colOff>462139</xdr:colOff>
      <xdr:row>15</xdr:row>
      <xdr:rowOff>60442</xdr:rowOff>
    </xdr:to>
    <xdr:graphicFrame macro="">
      <xdr:nvGraphicFramePr>
        <xdr:cNvPr id="6" name="Chart 5">
          <a:extLst>
            <a:ext uri="{FF2B5EF4-FFF2-40B4-BE49-F238E27FC236}">
              <a16:creationId xmlns:a16="http://schemas.microsoft.com/office/drawing/2014/main" id="{C54E6CD8-1486-400D-97E4-5FD8CF7A1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499781</xdr:colOff>
      <xdr:row>17</xdr:row>
      <xdr:rowOff>100631</xdr:rowOff>
    </xdr:from>
    <xdr:to>
      <xdr:col>15</xdr:col>
      <xdr:colOff>316901</xdr:colOff>
      <xdr:row>33</xdr:row>
      <xdr:rowOff>28665</xdr:rowOff>
    </xdr:to>
    <xdr:graphicFrame macro="">
      <xdr:nvGraphicFramePr>
        <xdr:cNvPr id="7" name="Chart 6">
          <a:extLst>
            <a:ext uri="{FF2B5EF4-FFF2-40B4-BE49-F238E27FC236}">
              <a16:creationId xmlns:a16="http://schemas.microsoft.com/office/drawing/2014/main" id="{73692B71-42BB-4F9A-9F42-A7CD5BC6A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58119</xdr:colOff>
      <xdr:row>34</xdr:row>
      <xdr:rowOff>129152</xdr:rowOff>
    </xdr:from>
    <xdr:to>
      <xdr:col>15</xdr:col>
      <xdr:colOff>382675</xdr:colOff>
      <xdr:row>49</xdr:row>
      <xdr:rowOff>123317</xdr:rowOff>
    </xdr:to>
    <xdr:graphicFrame macro="">
      <xdr:nvGraphicFramePr>
        <xdr:cNvPr id="8" name="Chart 7">
          <a:extLst>
            <a:ext uri="{FF2B5EF4-FFF2-40B4-BE49-F238E27FC236}">
              <a16:creationId xmlns:a16="http://schemas.microsoft.com/office/drawing/2014/main" id="{FAC85399-025E-47C6-ADB8-D84E4C233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0</xdr:colOff>
      <xdr:row>3</xdr:row>
      <xdr:rowOff>0</xdr:rowOff>
    </xdr:from>
    <xdr:to>
      <xdr:col>25</xdr:col>
      <xdr:colOff>324556</xdr:colOff>
      <xdr:row>17</xdr:row>
      <xdr:rowOff>174977</xdr:rowOff>
    </xdr:to>
    <xdr:graphicFrame macro="">
      <xdr:nvGraphicFramePr>
        <xdr:cNvPr id="9" name="Chart 8">
          <a:extLst>
            <a:ext uri="{FF2B5EF4-FFF2-40B4-BE49-F238E27FC236}">
              <a16:creationId xmlns:a16="http://schemas.microsoft.com/office/drawing/2014/main" id="{5EB3DCFC-CD2C-4F35-A6A1-2B6F55684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0</xdr:colOff>
      <xdr:row>20</xdr:row>
      <xdr:rowOff>144161</xdr:rowOff>
    </xdr:from>
    <xdr:to>
      <xdr:col>25</xdr:col>
      <xdr:colOff>324556</xdr:colOff>
      <xdr:row>35</xdr:row>
      <xdr:rowOff>133787</xdr:rowOff>
    </xdr:to>
    <xdr:graphicFrame macro="">
      <xdr:nvGraphicFramePr>
        <xdr:cNvPr id="10" name="Chart 9">
          <a:extLst>
            <a:ext uri="{FF2B5EF4-FFF2-40B4-BE49-F238E27FC236}">
              <a16:creationId xmlns:a16="http://schemas.microsoft.com/office/drawing/2014/main" id="{A62A286F-67BA-426A-B321-85FDA48DF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503694</xdr:colOff>
      <xdr:row>11</xdr:row>
      <xdr:rowOff>12916</xdr:rowOff>
    </xdr:from>
    <xdr:to>
      <xdr:col>7</xdr:col>
      <xdr:colOff>180812</xdr:colOff>
      <xdr:row>13</xdr:row>
      <xdr:rowOff>38746</xdr:rowOff>
    </xdr:to>
    <xdr:sp macro="" textlink="">
      <xdr:nvSpPr>
        <xdr:cNvPr id="14" name="Rectangle 13">
          <a:extLst>
            <a:ext uri="{FF2B5EF4-FFF2-40B4-BE49-F238E27FC236}">
              <a16:creationId xmlns:a16="http://schemas.microsoft.com/office/drawing/2014/main" id="{7B9E1BFE-5A9F-8AA9-8C87-A22C2F1AF059}"/>
            </a:ext>
          </a:extLst>
        </xdr:cNvPr>
        <xdr:cNvSpPr/>
      </xdr:nvSpPr>
      <xdr:spPr>
        <a:xfrm>
          <a:off x="2997512" y="2298916"/>
          <a:ext cx="1547482" cy="4414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47</xdr:col>
      <xdr:colOff>127001</xdr:colOff>
      <xdr:row>68</xdr:row>
      <xdr:rowOff>130554</xdr:rowOff>
    </xdr:to>
    <xdr:sp macro="" textlink="">
      <xdr:nvSpPr>
        <xdr:cNvPr id="4" name="Rectangle: Rounded Corners 3">
          <a:extLst>
            <a:ext uri="{FF2B5EF4-FFF2-40B4-BE49-F238E27FC236}">
              <a16:creationId xmlns:a16="http://schemas.microsoft.com/office/drawing/2014/main" id="{84A9F79F-FE88-824C-97FF-9FD662948B8A}"/>
            </a:ext>
          </a:extLst>
        </xdr:cNvPr>
        <xdr:cNvSpPr/>
      </xdr:nvSpPr>
      <xdr:spPr>
        <a:xfrm>
          <a:off x="0" y="0"/>
          <a:ext cx="28977168" cy="13084554"/>
        </a:xfrm>
        <a:prstGeom prst="roundRect">
          <a:avLst>
            <a:gd name="adj" fmla="val 407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90465</xdr:colOff>
      <xdr:row>0</xdr:row>
      <xdr:rowOff>76200</xdr:rowOff>
    </xdr:from>
    <xdr:to>
      <xdr:col>47</xdr:col>
      <xdr:colOff>38385</xdr:colOff>
      <xdr:row>8</xdr:row>
      <xdr:rowOff>38970</xdr:rowOff>
    </xdr:to>
    <xdr:sp macro="" textlink="">
      <xdr:nvSpPr>
        <xdr:cNvPr id="6" name="Rectangle: Rounded Corners 5">
          <a:extLst>
            <a:ext uri="{FF2B5EF4-FFF2-40B4-BE49-F238E27FC236}">
              <a16:creationId xmlns:a16="http://schemas.microsoft.com/office/drawing/2014/main" id="{145DD735-604B-7948-3077-F85B486C0F82}"/>
            </a:ext>
          </a:extLst>
        </xdr:cNvPr>
        <xdr:cNvSpPr/>
      </xdr:nvSpPr>
      <xdr:spPr>
        <a:xfrm>
          <a:off x="90465" y="76200"/>
          <a:ext cx="28599120" cy="1486770"/>
        </a:xfrm>
        <a:prstGeom prst="roundRect">
          <a:avLst/>
        </a:prstGeom>
        <a:solidFill>
          <a:srgbClr val="7030A0">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600" b="1">
              <a:solidFill>
                <a:schemeClr val="bg1"/>
              </a:solidFill>
              <a:latin typeface="Times New Roman" panose="02020603050405020304" pitchFamily="18" charset="0"/>
              <a:cs typeface="Times New Roman" panose="02020603050405020304" pitchFamily="18" charset="0"/>
            </a:rPr>
            <a:t>HR Analytics</a:t>
          </a:r>
          <a:r>
            <a:rPr lang="en-US" sz="6600" b="1" baseline="0">
              <a:solidFill>
                <a:schemeClr val="bg1"/>
              </a:solidFill>
              <a:latin typeface="Times New Roman" panose="02020603050405020304" pitchFamily="18" charset="0"/>
              <a:cs typeface="Times New Roman" panose="02020603050405020304" pitchFamily="18" charset="0"/>
            </a:rPr>
            <a:t> Dashboard - Employee performance&amp;workforce insights</a:t>
          </a:r>
        </a:p>
        <a:p>
          <a:pPr algn="ctr"/>
          <a:endParaRPr lang="en-US" sz="2800" baseline="0"/>
        </a:p>
      </xdr:txBody>
    </xdr:sp>
    <xdr:clientData/>
  </xdr:twoCellAnchor>
  <xdr:twoCellAnchor>
    <xdr:from>
      <xdr:col>0</xdr:col>
      <xdr:colOff>127000</xdr:colOff>
      <xdr:row>8</xdr:row>
      <xdr:rowOff>110933</xdr:rowOff>
    </xdr:from>
    <xdr:to>
      <xdr:col>8</xdr:col>
      <xdr:colOff>35092</xdr:colOff>
      <xdr:row>67</xdr:row>
      <xdr:rowOff>179198</xdr:rowOff>
    </xdr:to>
    <xdr:sp macro="" textlink="">
      <xdr:nvSpPr>
        <xdr:cNvPr id="7" name="Rectangle: Rounded Corners 6">
          <a:extLst>
            <a:ext uri="{FF2B5EF4-FFF2-40B4-BE49-F238E27FC236}">
              <a16:creationId xmlns:a16="http://schemas.microsoft.com/office/drawing/2014/main" id="{8946515D-2F9B-E05C-BCA7-0190D299082A}"/>
            </a:ext>
          </a:extLst>
        </xdr:cNvPr>
        <xdr:cNvSpPr/>
      </xdr:nvSpPr>
      <xdr:spPr>
        <a:xfrm>
          <a:off x="127000" y="1634933"/>
          <a:ext cx="4818759" cy="11307765"/>
        </a:xfrm>
        <a:prstGeom prst="roundRect">
          <a:avLst>
            <a:gd name="adj" fmla="val 9072"/>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171034</xdr:colOff>
      <xdr:row>9</xdr:row>
      <xdr:rowOff>49358</xdr:rowOff>
    </xdr:from>
    <xdr:to>
      <xdr:col>15</xdr:col>
      <xdr:colOff>307189</xdr:colOff>
      <xdr:row>19</xdr:row>
      <xdr:rowOff>151405</xdr:rowOff>
    </xdr:to>
    <xdr:sp macro="" textlink="">
      <xdr:nvSpPr>
        <xdr:cNvPr id="12" name="Rectangle: Rounded Corners 11">
          <a:extLst>
            <a:ext uri="{FF2B5EF4-FFF2-40B4-BE49-F238E27FC236}">
              <a16:creationId xmlns:a16="http://schemas.microsoft.com/office/drawing/2014/main" id="{5340C782-E1EC-2766-6A93-8CBC14066D73}"/>
            </a:ext>
          </a:extLst>
        </xdr:cNvPr>
        <xdr:cNvSpPr/>
      </xdr:nvSpPr>
      <xdr:spPr>
        <a:xfrm>
          <a:off x="4991127" y="1644242"/>
          <a:ext cx="4353736" cy="1874140"/>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9</xdr:col>
      <xdr:colOff>143879</xdr:colOff>
      <xdr:row>9</xdr:row>
      <xdr:rowOff>166531</xdr:rowOff>
    </xdr:from>
    <xdr:to>
      <xdr:col>14</xdr:col>
      <xdr:colOff>133032</xdr:colOff>
      <xdr:row>16</xdr:row>
      <xdr:rowOff>45093</xdr:rowOff>
    </xdr:to>
    <xdr:sp macro="" textlink="">
      <xdr:nvSpPr>
        <xdr:cNvPr id="13" name="Rectangle 12">
          <a:extLst>
            <a:ext uri="{FF2B5EF4-FFF2-40B4-BE49-F238E27FC236}">
              <a16:creationId xmlns:a16="http://schemas.microsoft.com/office/drawing/2014/main" id="{97EDD377-1C35-6534-B9BF-B78D6FCC0BAD}"/>
            </a:ext>
          </a:extLst>
        </xdr:cNvPr>
        <xdr:cNvSpPr/>
      </xdr:nvSpPr>
      <xdr:spPr>
        <a:xfrm>
          <a:off x="5566484" y="1761415"/>
          <a:ext cx="3001711" cy="11190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Total </a:t>
          </a:r>
          <a:r>
            <a:rPr lang="en-US" sz="2800" b="1" baseline="0"/>
            <a:t> Employee</a:t>
          </a:r>
          <a:endParaRPr lang="en-US" sz="2800" b="1"/>
        </a:p>
      </xdr:txBody>
    </xdr:sp>
    <xdr:clientData/>
  </xdr:twoCellAnchor>
  <xdr:twoCellAnchor>
    <xdr:from>
      <xdr:col>9</xdr:col>
      <xdr:colOff>470836</xdr:colOff>
      <xdr:row>14</xdr:row>
      <xdr:rowOff>54311</xdr:rowOff>
    </xdr:from>
    <xdr:to>
      <xdr:col>15</xdr:col>
      <xdr:colOff>32766</xdr:colOff>
      <xdr:row>18</xdr:row>
      <xdr:rowOff>50544</xdr:rowOff>
    </xdr:to>
    <xdr:sp macro="" textlink="Analysis!B5">
      <xdr:nvSpPr>
        <xdr:cNvPr id="15" name="Rectangle 14">
          <a:extLst>
            <a:ext uri="{FF2B5EF4-FFF2-40B4-BE49-F238E27FC236}">
              <a16:creationId xmlns:a16="http://schemas.microsoft.com/office/drawing/2014/main" id="{EFB86842-D320-2245-FEE8-011B4B8CC5D4}"/>
            </a:ext>
          </a:extLst>
        </xdr:cNvPr>
        <xdr:cNvSpPr/>
      </xdr:nvSpPr>
      <xdr:spPr>
        <a:xfrm>
          <a:off x="5987053" y="2605354"/>
          <a:ext cx="3239409" cy="725103"/>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9C7D36F-D162-4B11-A0CE-991BE744AD32}" type="TxLink">
            <a:rPr lang="en-US" sz="4800" b="1" i="0" u="none" strike="noStrike">
              <a:solidFill>
                <a:srgbClr val="000000"/>
              </a:solidFill>
              <a:latin typeface="Calibri"/>
              <a:cs typeface="Calibri"/>
            </a:rPr>
            <a:t>150</a:t>
          </a:fld>
          <a:endParaRPr lang="en-US" sz="19900" b="1"/>
        </a:p>
      </xdr:txBody>
    </xdr:sp>
    <xdr:clientData/>
  </xdr:twoCellAnchor>
  <xdr:twoCellAnchor>
    <xdr:from>
      <xdr:col>31</xdr:col>
      <xdr:colOff>394113</xdr:colOff>
      <xdr:row>9</xdr:row>
      <xdr:rowOff>56842</xdr:rowOff>
    </xdr:from>
    <xdr:to>
      <xdr:col>38</xdr:col>
      <xdr:colOff>530265</xdr:colOff>
      <xdr:row>19</xdr:row>
      <xdr:rowOff>158889</xdr:rowOff>
    </xdr:to>
    <xdr:sp macro="" textlink="">
      <xdr:nvSpPr>
        <xdr:cNvPr id="33" name="Rectangle: Rounded Corners 32">
          <a:extLst>
            <a:ext uri="{FF2B5EF4-FFF2-40B4-BE49-F238E27FC236}">
              <a16:creationId xmlns:a16="http://schemas.microsoft.com/office/drawing/2014/main" id="{C896A166-A2D3-C4AA-FF56-CCED902FD604}"/>
            </a:ext>
          </a:extLst>
        </xdr:cNvPr>
        <xdr:cNvSpPr/>
      </xdr:nvSpPr>
      <xdr:spPr>
        <a:xfrm>
          <a:off x="19071973" y="1651726"/>
          <a:ext cx="4353734" cy="1874140"/>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32</xdr:col>
      <xdr:colOff>453032</xdr:colOff>
      <xdr:row>9</xdr:row>
      <xdr:rowOff>51383</xdr:rowOff>
    </xdr:from>
    <xdr:to>
      <xdr:col>37</xdr:col>
      <xdr:colOff>442184</xdr:colOff>
      <xdr:row>15</xdr:row>
      <xdr:rowOff>107154</xdr:rowOff>
    </xdr:to>
    <xdr:sp macro="" textlink="">
      <xdr:nvSpPr>
        <xdr:cNvPr id="34" name="Rectangle 33">
          <a:extLst>
            <a:ext uri="{FF2B5EF4-FFF2-40B4-BE49-F238E27FC236}">
              <a16:creationId xmlns:a16="http://schemas.microsoft.com/office/drawing/2014/main" id="{CB4E8B4E-A54F-2DB2-D22F-FD9DFAD88D66}"/>
            </a:ext>
          </a:extLst>
        </xdr:cNvPr>
        <xdr:cNvSpPr/>
      </xdr:nvSpPr>
      <xdr:spPr>
        <a:xfrm>
          <a:off x="19733404" y="1646267"/>
          <a:ext cx="3001710" cy="11190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t>Attrition</a:t>
          </a:r>
          <a:r>
            <a:rPr lang="en-US" sz="3200" b="1" baseline="0"/>
            <a:t> Rate</a:t>
          </a:r>
          <a:endParaRPr lang="en-US" sz="3200" b="1"/>
        </a:p>
      </xdr:txBody>
    </xdr:sp>
    <xdr:clientData/>
  </xdr:twoCellAnchor>
  <xdr:twoCellAnchor>
    <xdr:from>
      <xdr:col>32</xdr:col>
      <xdr:colOff>386270</xdr:colOff>
      <xdr:row>13</xdr:row>
      <xdr:rowOff>142796</xdr:rowOff>
    </xdr:from>
    <xdr:to>
      <xdr:col>37</xdr:col>
      <xdr:colOff>554023</xdr:colOff>
      <xdr:row>17</xdr:row>
      <xdr:rowOff>79925</xdr:rowOff>
    </xdr:to>
    <xdr:sp macro="" textlink="Analysis!B42">
      <xdr:nvSpPr>
        <xdr:cNvPr id="35" name="Rectangle 34">
          <a:extLst>
            <a:ext uri="{FF2B5EF4-FFF2-40B4-BE49-F238E27FC236}">
              <a16:creationId xmlns:a16="http://schemas.microsoft.com/office/drawing/2014/main" id="{8782B9ED-2E8A-9956-3045-A4E48E9804E3}"/>
            </a:ext>
          </a:extLst>
        </xdr:cNvPr>
        <xdr:cNvSpPr/>
      </xdr:nvSpPr>
      <xdr:spPr>
        <a:xfrm>
          <a:off x="19666642" y="2446517"/>
          <a:ext cx="3180311" cy="645966"/>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259D92F-7973-4E81-926A-541F286CFEF9}" type="TxLink">
            <a:rPr lang="en-US" sz="4000" b="1" i="0" u="none" strike="noStrike">
              <a:solidFill>
                <a:srgbClr val="000000"/>
              </a:solidFill>
              <a:latin typeface="Calibri"/>
              <a:cs typeface="Calibri"/>
            </a:rPr>
            <a:t>22.7%</a:t>
          </a:fld>
          <a:endParaRPr lang="en-US" sz="8800" b="1"/>
        </a:p>
      </xdr:txBody>
    </xdr:sp>
    <xdr:clientData/>
  </xdr:twoCellAnchor>
  <xdr:twoCellAnchor>
    <xdr:from>
      <xdr:col>15</xdr:col>
      <xdr:colOff>496230</xdr:colOff>
      <xdr:row>9</xdr:row>
      <xdr:rowOff>70566</xdr:rowOff>
    </xdr:from>
    <xdr:to>
      <xdr:col>23</xdr:col>
      <xdr:colOff>29871</xdr:colOff>
      <xdr:row>19</xdr:row>
      <xdr:rowOff>172574</xdr:rowOff>
    </xdr:to>
    <xdr:sp macro="" textlink="">
      <xdr:nvSpPr>
        <xdr:cNvPr id="37" name="Rectangle: Rounded Corners 36">
          <a:extLst>
            <a:ext uri="{FF2B5EF4-FFF2-40B4-BE49-F238E27FC236}">
              <a16:creationId xmlns:a16="http://schemas.microsoft.com/office/drawing/2014/main" id="{02B7F6B5-0E8D-0218-BEDC-CAE13BE561E8}"/>
            </a:ext>
          </a:extLst>
        </xdr:cNvPr>
        <xdr:cNvSpPr/>
      </xdr:nvSpPr>
      <xdr:spPr>
        <a:xfrm>
          <a:off x="9533904" y="1665450"/>
          <a:ext cx="4353734" cy="1874101"/>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 </a:t>
          </a:r>
        </a:p>
      </xdr:txBody>
    </xdr:sp>
    <xdr:clientData/>
  </xdr:twoCellAnchor>
  <xdr:twoCellAnchor>
    <xdr:from>
      <xdr:col>16</xdr:col>
      <xdr:colOff>456666</xdr:colOff>
      <xdr:row>10</xdr:row>
      <xdr:rowOff>70728</xdr:rowOff>
    </xdr:from>
    <xdr:to>
      <xdr:col>21</xdr:col>
      <xdr:colOff>400695</xdr:colOff>
      <xdr:row>15</xdr:row>
      <xdr:rowOff>44543</xdr:rowOff>
    </xdr:to>
    <xdr:sp macro="" textlink="">
      <xdr:nvSpPr>
        <xdr:cNvPr id="38" name="Rectangle 37">
          <a:extLst>
            <a:ext uri="{FF2B5EF4-FFF2-40B4-BE49-F238E27FC236}">
              <a16:creationId xmlns:a16="http://schemas.microsoft.com/office/drawing/2014/main" id="{EE6EE20B-2630-B0A1-C5C2-833462F7C7AC}"/>
            </a:ext>
          </a:extLst>
        </xdr:cNvPr>
        <xdr:cNvSpPr/>
      </xdr:nvSpPr>
      <xdr:spPr>
        <a:xfrm>
          <a:off x="10096852" y="1842821"/>
          <a:ext cx="2956587" cy="8598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t>Average</a:t>
          </a:r>
          <a:r>
            <a:rPr lang="en-US" sz="3200" b="1" baseline="0"/>
            <a:t> Salary</a:t>
          </a:r>
          <a:endParaRPr lang="en-US" sz="3200" b="1"/>
        </a:p>
      </xdr:txBody>
    </xdr:sp>
    <xdr:clientData/>
  </xdr:twoCellAnchor>
  <xdr:twoCellAnchor>
    <xdr:from>
      <xdr:col>16</xdr:col>
      <xdr:colOff>471970</xdr:colOff>
      <xdr:row>14</xdr:row>
      <xdr:rowOff>137697</xdr:rowOff>
    </xdr:from>
    <xdr:to>
      <xdr:col>22</xdr:col>
      <xdr:colOff>37211</xdr:colOff>
      <xdr:row>18</xdr:row>
      <xdr:rowOff>74813</xdr:rowOff>
    </xdr:to>
    <xdr:sp macro="" textlink="">
      <xdr:nvSpPr>
        <xdr:cNvPr id="39" name="Rectangle 38">
          <a:extLst>
            <a:ext uri="{FF2B5EF4-FFF2-40B4-BE49-F238E27FC236}">
              <a16:creationId xmlns:a16="http://schemas.microsoft.com/office/drawing/2014/main" id="{1E6EDBAE-08E0-6BF6-86F5-B10B74FB1D05}"/>
            </a:ext>
          </a:extLst>
        </xdr:cNvPr>
        <xdr:cNvSpPr/>
      </xdr:nvSpPr>
      <xdr:spPr>
        <a:xfrm>
          <a:off x="10112156" y="2618627"/>
          <a:ext cx="3180311" cy="645953"/>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0" u="none" strike="noStrike">
              <a:solidFill>
                <a:srgbClr val="000000"/>
              </a:solidFill>
              <a:latin typeface="Calibri"/>
              <a:cs typeface="Calibri"/>
            </a:rPr>
            <a:t>$82,886</a:t>
          </a:r>
        </a:p>
      </xdr:txBody>
    </xdr:sp>
    <xdr:clientData/>
  </xdr:twoCellAnchor>
  <xdr:twoCellAnchor>
    <xdr:from>
      <xdr:col>23</xdr:col>
      <xdr:colOff>495584</xdr:colOff>
      <xdr:row>9</xdr:row>
      <xdr:rowOff>84152</xdr:rowOff>
    </xdr:from>
    <xdr:to>
      <xdr:col>31</xdr:col>
      <xdr:colOff>29227</xdr:colOff>
      <xdr:row>20</xdr:row>
      <xdr:rowOff>8951</xdr:rowOff>
    </xdr:to>
    <xdr:sp macro="" textlink="">
      <xdr:nvSpPr>
        <xdr:cNvPr id="41" name="Rectangle: Rounded Corners 40">
          <a:extLst>
            <a:ext uri="{FF2B5EF4-FFF2-40B4-BE49-F238E27FC236}">
              <a16:creationId xmlns:a16="http://schemas.microsoft.com/office/drawing/2014/main" id="{95A61167-DD4F-5C39-0BCB-5012F87DEFC1}"/>
            </a:ext>
          </a:extLst>
        </xdr:cNvPr>
        <xdr:cNvSpPr/>
      </xdr:nvSpPr>
      <xdr:spPr>
        <a:xfrm>
          <a:off x="14353351" y="1679036"/>
          <a:ext cx="4353736" cy="1874101"/>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24</xdr:col>
      <xdr:colOff>458090</xdr:colOff>
      <xdr:row>10</xdr:row>
      <xdr:rowOff>21853</xdr:rowOff>
    </xdr:from>
    <xdr:to>
      <xdr:col>29</xdr:col>
      <xdr:colOff>447243</xdr:colOff>
      <xdr:row>16</xdr:row>
      <xdr:rowOff>77601</xdr:rowOff>
    </xdr:to>
    <xdr:sp macro="" textlink="">
      <xdr:nvSpPr>
        <xdr:cNvPr id="42" name="Rectangle 41">
          <a:extLst>
            <a:ext uri="{FF2B5EF4-FFF2-40B4-BE49-F238E27FC236}">
              <a16:creationId xmlns:a16="http://schemas.microsoft.com/office/drawing/2014/main" id="{E92B2DF3-DA74-25B0-D7A4-BB56C5E4912C}"/>
            </a:ext>
          </a:extLst>
        </xdr:cNvPr>
        <xdr:cNvSpPr/>
      </xdr:nvSpPr>
      <xdr:spPr>
        <a:xfrm>
          <a:off x="14918369" y="1793946"/>
          <a:ext cx="3001711" cy="11190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t>Total Bonus</a:t>
          </a:r>
        </a:p>
      </xdr:txBody>
    </xdr:sp>
    <xdr:clientData/>
  </xdr:twoCellAnchor>
  <xdr:twoCellAnchor>
    <xdr:from>
      <xdr:col>24</xdr:col>
      <xdr:colOff>569936</xdr:colOff>
      <xdr:row>14</xdr:row>
      <xdr:rowOff>83156</xdr:rowOff>
    </xdr:from>
    <xdr:to>
      <xdr:col>30</xdr:col>
      <xdr:colOff>135179</xdr:colOff>
      <xdr:row>18</xdr:row>
      <xdr:rowOff>20272</xdr:rowOff>
    </xdr:to>
    <xdr:sp macro="" textlink="Analysis!F5">
      <xdr:nvSpPr>
        <xdr:cNvPr id="43" name="Rectangle 42">
          <a:extLst>
            <a:ext uri="{FF2B5EF4-FFF2-40B4-BE49-F238E27FC236}">
              <a16:creationId xmlns:a16="http://schemas.microsoft.com/office/drawing/2014/main" id="{439A3DF0-0B25-9FAC-1014-8B4108DF0047}"/>
            </a:ext>
          </a:extLst>
        </xdr:cNvPr>
        <xdr:cNvSpPr/>
      </xdr:nvSpPr>
      <xdr:spPr>
        <a:xfrm>
          <a:off x="15030215" y="2564086"/>
          <a:ext cx="3180313" cy="645953"/>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A0151A7-2C86-4316-81E6-05110AD18A69}" type="TxLink">
            <a:rPr lang="en-US" sz="3600" b="1" i="0" u="none" strike="noStrike">
              <a:solidFill>
                <a:srgbClr val="000000"/>
              </a:solidFill>
              <a:latin typeface="Calibri"/>
              <a:cs typeface="Calibri"/>
            </a:rPr>
            <a:t>$497,972.02</a:t>
          </a:fld>
          <a:endParaRPr lang="en-US" sz="8000" b="1" i="0" u="none" strike="noStrike">
            <a:solidFill>
              <a:srgbClr val="000000"/>
            </a:solidFill>
            <a:latin typeface="Calibri"/>
            <a:cs typeface="Calibri"/>
          </a:endParaRPr>
        </a:p>
      </xdr:txBody>
    </xdr:sp>
    <xdr:clientData/>
  </xdr:twoCellAnchor>
  <xdr:twoCellAnchor>
    <xdr:from>
      <xdr:col>0</xdr:col>
      <xdr:colOff>537586</xdr:colOff>
      <xdr:row>12</xdr:row>
      <xdr:rowOff>149213</xdr:rowOff>
    </xdr:from>
    <xdr:to>
      <xdr:col>7</xdr:col>
      <xdr:colOff>246375</xdr:colOff>
      <xdr:row>19</xdr:row>
      <xdr:rowOff>110620</xdr:rowOff>
    </xdr:to>
    <xdr:sp macro="" textlink="">
      <xdr:nvSpPr>
        <xdr:cNvPr id="46" name="Rectangle: Rounded Corners 45">
          <a:hlinkClick xmlns:r="http://schemas.openxmlformats.org/officeDocument/2006/relationships" r:id="rId1"/>
          <a:extLst>
            <a:ext uri="{FF2B5EF4-FFF2-40B4-BE49-F238E27FC236}">
              <a16:creationId xmlns:a16="http://schemas.microsoft.com/office/drawing/2014/main" id="{7495E40A-05F5-224A-43E4-F636A5ACA040}"/>
            </a:ext>
          </a:extLst>
        </xdr:cNvPr>
        <xdr:cNvSpPr/>
      </xdr:nvSpPr>
      <xdr:spPr>
        <a:xfrm>
          <a:off x="537586" y="2435213"/>
          <a:ext cx="3975989" cy="1294907"/>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solidFill>
                <a:schemeClr val="tx1"/>
              </a:solidFill>
            </a:rPr>
            <a:t>Overview</a:t>
          </a:r>
        </a:p>
      </xdr:txBody>
    </xdr:sp>
    <xdr:clientData/>
  </xdr:twoCellAnchor>
  <xdr:twoCellAnchor>
    <xdr:from>
      <xdr:col>0</xdr:col>
      <xdr:colOff>489169</xdr:colOff>
      <xdr:row>22</xdr:row>
      <xdr:rowOff>164428</xdr:rowOff>
    </xdr:from>
    <xdr:to>
      <xdr:col>7</xdr:col>
      <xdr:colOff>204092</xdr:colOff>
      <xdr:row>29</xdr:row>
      <xdr:rowOff>42567</xdr:rowOff>
    </xdr:to>
    <xdr:sp macro="" textlink="">
      <xdr:nvSpPr>
        <xdr:cNvPr id="49" name="Rectangle: Rounded Corners 48">
          <a:hlinkClick xmlns:r="http://schemas.openxmlformats.org/officeDocument/2006/relationships" r:id="rId2"/>
          <a:extLst>
            <a:ext uri="{FF2B5EF4-FFF2-40B4-BE49-F238E27FC236}">
              <a16:creationId xmlns:a16="http://schemas.microsoft.com/office/drawing/2014/main" id="{F8E421BC-82FE-B060-3DAD-E05A0B272B27}"/>
            </a:ext>
          </a:extLst>
        </xdr:cNvPr>
        <xdr:cNvSpPr/>
      </xdr:nvSpPr>
      <xdr:spPr>
        <a:xfrm>
          <a:off x="489169" y="4173211"/>
          <a:ext cx="4005314" cy="115366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solidFill>
                <a:schemeClr val="tx1"/>
              </a:solidFill>
            </a:rPr>
            <a:t>Dataset</a:t>
          </a:r>
        </a:p>
      </xdr:txBody>
    </xdr:sp>
    <xdr:clientData/>
  </xdr:twoCellAnchor>
  <xdr:twoCellAnchor editAs="oneCell">
    <xdr:from>
      <xdr:col>39</xdr:col>
      <xdr:colOff>165652</xdr:colOff>
      <xdr:row>10</xdr:row>
      <xdr:rowOff>33130</xdr:rowOff>
    </xdr:from>
    <xdr:to>
      <xdr:col>46</xdr:col>
      <xdr:colOff>592667</xdr:colOff>
      <xdr:row>21</xdr:row>
      <xdr:rowOff>49697</xdr:rowOff>
    </xdr:to>
    <mc:AlternateContent xmlns:mc="http://schemas.openxmlformats.org/markup-compatibility/2006" xmlns:a14="http://schemas.microsoft.com/office/drawing/2010/main">
      <mc:Choice Requires="a14">
        <xdr:graphicFrame macro="">
          <xdr:nvGraphicFramePr>
            <xdr:cNvPr id="17" name="Department Name">
              <a:extLst>
                <a:ext uri="{FF2B5EF4-FFF2-40B4-BE49-F238E27FC236}">
                  <a16:creationId xmlns:a16="http://schemas.microsoft.com/office/drawing/2014/main" id="{50EEA2AC-2415-4B21-ABAE-0D704FCE56C2}"/>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25781588" y="2084293"/>
              <a:ext cx="2351936" cy="3264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124726</xdr:colOff>
      <xdr:row>23</xdr:row>
      <xdr:rowOff>18513</xdr:rowOff>
    </xdr:from>
    <xdr:to>
      <xdr:col>42</xdr:col>
      <xdr:colOff>558344</xdr:colOff>
      <xdr:row>44</xdr:row>
      <xdr:rowOff>132521</xdr:rowOff>
    </xdr:to>
    <mc:AlternateContent xmlns:mc="http://schemas.openxmlformats.org/markup-compatibility/2006">
      <mc:Choice xmlns:a14="http://schemas.microsoft.com/office/drawing/2010/main" Requires="a14">
        <xdr:graphicFrame macro="">
          <xdr:nvGraphicFramePr>
            <xdr:cNvPr id="18" name="Year of Service">
              <a:extLst>
                <a:ext uri="{FF2B5EF4-FFF2-40B4-BE49-F238E27FC236}">
                  <a16:creationId xmlns:a16="http://schemas.microsoft.com/office/drawing/2014/main" id="{B862F1BF-8492-469C-A223-CBE181DB4081}"/>
                </a:ext>
              </a:extLst>
            </xdr:cNvPr>
            <xdr:cNvGraphicFramePr/>
          </xdr:nvGraphicFramePr>
          <xdr:xfrm>
            <a:off x="0" y="0"/>
            <a:ext cx="0" cy="0"/>
          </xdr:xfrm>
          <a:graphic>
            <a:graphicData uri="http://schemas.microsoft.com/office/drawing/2010/slicer">
              <sle:slicer xmlns:sle="http://schemas.microsoft.com/office/drawing/2010/slicer" name="Year of Service"/>
            </a:graphicData>
          </a:graphic>
        </xdr:graphicFrame>
      </mc:Choice>
      <mc:Fallback>
        <xdr:sp macro="" textlink="">
          <xdr:nvSpPr>
            <xdr:cNvPr id="0" name=""/>
            <xdr:cNvSpPr>
              <a:spLocks noTextEdit="1"/>
            </xdr:cNvSpPr>
          </xdr:nvSpPr>
          <xdr:spPr>
            <a:xfrm>
              <a:off x="24152045" y="4120343"/>
              <a:ext cx="2281873" cy="3859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192611</xdr:colOff>
      <xdr:row>23</xdr:row>
      <xdr:rowOff>63012</xdr:rowOff>
    </xdr:from>
    <xdr:to>
      <xdr:col>46</xdr:col>
      <xdr:colOff>566140</xdr:colOff>
      <xdr:row>44</xdr:row>
      <xdr:rowOff>33130</xdr:rowOff>
    </xdr:to>
    <mc:AlternateContent xmlns:mc="http://schemas.openxmlformats.org/markup-compatibility/2006">
      <mc:Choice xmlns:a14="http://schemas.microsoft.com/office/drawing/2010/main" Requires="a14">
        <xdr:graphicFrame macro="">
          <xdr:nvGraphicFramePr>
            <xdr:cNvPr id="19" name="Salary">
              <a:extLst>
                <a:ext uri="{FF2B5EF4-FFF2-40B4-BE49-F238E27FC236}">
                  <a16:creationId xmlns:a16="http://schemas.microsoft.com/office/drawing/2014/main" id="{2369EB14-6679-4A23-98D7-9C4E235426B7}"/>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dr:sp macro="" textlink="">
          <xdr:nvSpPr>
            <xdr:cNvPr id="0" name=""/>
            <xdr:cNvSpPr>
              <a:spLocks noTextEdit="1"/>
            </xdr:cNvSpPr>
          </xdr:nvSpPr>
          <xdr:spPr>
            <a:xfrm>
              <a:off x="26684271" y="4164842"/>
              <a:ext cx="2221784" cy="3715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239059</xdr:colOff>
      <xdr:row>46</xdr:row>
      <xdr:rowOff>0</xdr:rowOff>
    </xdr:from>
    <xdr:to>
      <xdr:col>43</xdr:col>
      <xdr:colOff>194234</xdr:colOff>
      <xdr:row>67</xdr:row>
      <xdr:rowOff>63500</xdr:rowOff>
    </xdr:to>
    <mc:AlternateContent xmlns:mc="http://schemas.openxmlformats.org/markup-compatibility/2006" xmlns:a14="http://schemas.microsoft.com/office/drawing/2010/main">
      <mc:Choice Requires="a14">
        <xdr:graphicFrame macro="">
          <xdr:nvGraphicFramePr>
            <xdr:cNvPr id="20" name="Eligible Bonus">
              <a:extLst>
                <a:ext uri="{FF2B5EF4-FFF2-40B4-BE49-F238E27FC236}">
                  <a16:creationId xmlns:a16="http://schemas.microsoft.com/office/drawing/2014/main" id="{9AC23426-93D0-461A-961C-354DD37B1760}"/>
                </a:ext>
              </a:extLst>
            </xdr:cNvPr>
            <xdr:cNvGraphicFramePr/>
          </xdr:nvGraphicFramePr>
          <xdr:xfrm>
            <a:off x="0" y="0"/>
            <a:ext cx="0" cy="0"/>
          </xdr:xfrm>
          <a:graphic>
            <a:graphicData uri="http://schemas.microsoft.com/office/drawing/2010/slicer">
              <sle:slicer xmlns:sle="http://schemas.microsoft.com/office/drawing/2010/slicer" name="Eligible Bonus"/>
            </a:graphicData>
          </a:graphic>
        </xdr:graphicFrame>
      </mc:Choice>
      <mc:Fallback xmlns="">
        <xdr:sp macro="" textlink="">
          <xdr:nvSpPr>
            <xdr:cNvPr id="0" name=""/>
            <xdr:cNvSpPr>
              <a:spLocks noTextEdit="1"/>
            </xdr:cNvSpPr>
          </xdr:nvSpPr>
          <xdr:spPr>
            <a:xfrm>
              <a:off x="23588916" y="9117851"/>
              <a:ext cx="2350032" cy="3709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305856</xdr:colOff>
      <xdr:row>46</xdr:row>
      <xdr:rowOff>49696</xdr:rowOff>
    </xdr:from>
    <xdr:to>
      <xdr:col>46</xdr:col>
      <xdr:colOff>582706</xdr:colOff>
      <xdr:row>68</xdr:row>
      <xdr:rowOff>0</xdr:rowOff>
    </xdr:to>
    <mc:AlternateContent xmlns:mc="http://schemas.openxmlformats.org/markup-compatibility/2006" xmlns:a14="http://schemas.microsoft.com/office/drawing/2010/main">
      <mc:Choice Requires="a14">
        <xdr:graphicFrame macro="">
          <xdr:nvGraphicFramePr>
            <xdr:cNvPr id="21" name="Perf_Score">
              <a:extLst>
                <a:ext uri="{FF2B5EF4-FFF2-40B4-BE49-F238E27FC236}">
                  <a16:creationId xmlns:a16="http://schemas.microsoft.com/office/drawing/2014/main" id="{CA35CB3C-D2AB-407F-9532-FABDE571B303}"/>
                </a:ext>
              </a:extLst>
            </xdr:cNvPr>
            <xdr:cNvGraphicFramePr/>
          </xdr:nvGraphicFramePr>
          <xdr:xfrm>
            <a:off x="0" y="0"/>
            <a:ext cx="0" cy="0"/>
          </xdr:xfrm>
          <a:graphic>
            <a:graphicData uri="http://schemas.microsoft.com/office/drawing/2010/slicer">
              <sle:slicer xmlns:sle="http://schemas.microsoft.com/office/drawing/2010/slicer" name="Perf_Score"/>
            </a:graphicData>
          </a:graphic>
        </xdr:graphicFrame>
      </mc:Choice>
      <mc:Fallback xmlns="">
        <xdr:sp macro="" textlink="">
          <xdr:nvSpPr>
            <xdr:cNvPr id="0" name=""/>
            <xdr:cNvSpPr>
              <a:spLocks noTextEdit="1"/>
            </xdr:cNvSpPr>
          </xdr:nvSpPr>
          <xdr:spPr>
            <a:xfrm>
              <a:off x="26050570" y="9058088"/>
              <a:ext cx="2072993" cy="3895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281641</xdr:colOff>
      <xdr:row>45</xdr:row>
      <xdr:rowOff>63500</xdr:rowOff>
    </xdr:from>
    <xdr:to>
      <xdr:col>18</xdr:col>
      <xdr:colOff>196974</xdr:colOff>
      <xdr:row>67</xdr:row>
      <xdr:rowOff>52552</xdr:rowOff>
    </xdr:to>
    <xdr:sp macro="" textlink="">
      <xdr:nvSpPr>
        <xdr:cNvPr id="8" name="Rectangle: Rounded Corners 7">
          <a:extLst>
            <a:ext uri="{FF2B5EF4-FFF2-40B4-BE49-F238E27FC236}">
              <a16:creationId xmlns:a16="http://schemas.microsoft.com/office/drawing/2014/main" id="{CC11CC31-E01A-10F4-08E8-93D366AEF7A9}"/>
            </a:ext>
          </a:extLst>
        </xdr:cNvPr>
        <xdr:cNvSpPr/>
      </xdr:nvSpPr>
      <xdr:spPr>
        <a:xfrm>
          <a:off x="5192308" y="8636000"/>
          <a:ext cx="6053666" cy="4180052"/>
        </a:xfrm>
        <a:prstGeom prst="roundRect">
          <a:avLst>
            <a:gd name="adj" fmla="val 6079"/>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215348</xdr:colOff>
      <xdr:row>44</xdr:row>
      <xdr:rowOff>127001</xdr:rowOff>
    </xdr:from>
    <xdr:to>
      <xdr:col>39</xdr:col>
      <xdr:colOff>33130</xdr:colOff>
      <xdr:row>67</xdr:row>
      <xdr:rowOff>43811</xdr:rowOff>
    </xdr:to>
    <xdr:sp macro="" textlink="">
      <xdr:nvSpPr>
        <xdr:cNvPr id="10" name="Rectangle: Rounded Corners 9">
          <a:extLst>
            <a:ext uri="{FF2B5EF4-FFF2-40B4-BE49-F238E27FC236}">
              <a16:creationId xmlns:a16="http://schemas.microsoft.com/office/drawing/2014/main" id="{A534921F-FD8C-2923-B02D-D68C96FF8FA0}"/>
            </a:ext>
          </a:extLst>
        </xdr:cNvPr>
        <xdr:cNvSpPr/>
      </xdr:nvSpPr>
      <xdr:spPr>
        <a:xfrm>
          <a:off x="18016515" y="8509001"/>
          <a:ext cx="5956115" cy="4298310"/>
        </a:xfrm>
        <a:prstGeom prst="roundRect">
          <a:avLst>
            <a:gd name="adj" fmla="val 3446"/>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299358</xdr:colOff>
      <xdr:row>22</xdr:row>
      <xdr:rowOff>42333</xdr:rowOff>
    </xdr:from>
    <xdr:to>
      <xdr:col>18</xdr:col>
      <xdr:colOff>214691</xdr:colOff>
      <xdr:row>43</xdr:row>
      <xdr:rowOff>148167</xdr:rowOff>
    </xdr:to>
    <xdr:sp macro="" textlink="">
      <xdr:nvSpPr>
        <xdr:cNvPr id="2" name="Rectangle: Rounded Corners 1">
          <a:extLst>
            <a:ext uri="{FF2B5EF4-FFF2-40B4-BE49-F238E27FC236}">
              <a16:creationId xmlns:a16="http://schemas.microsoft.com/office/drawing/2014/main" id="{3465B033-5C0B-F3FC-D19A-42725A5260F6}"/>
            </a:ext>
          </a:extLst>
        </xdr:cNvPr>
        <xdr:cNvSpPr/>
      </xdr:nvSpPr>
      <xdr:spPr>
        <a:xfrm>
          <a:off x="5210025" y="4233333"/>
          <a:ext cx="6053666" cy="4106334"/>
        </a:xfrm>
        <a:prstGeom prst="roundRect">
          <a:avLst>
            <a:gd name="adj" fmla="val 6079"/>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419100</xdr:colOff>
      <xdr:row>23</xdr:row>
      <xdr:rowOff>62752</xdr:rowOff>
    </xdr:from>
    <xdr:to>
      <xdr:col>18</xdr:col>
      <xdr:colOff>106948</xdr:colOff>
      <xdr:row>42</xdr:row>
      <xdr:rowOff>179293</xdr:rowOff>
    </xdr:to>
    <xdr:graphicFrame macro="">
      <xdr:nvGraphicFramePr>
        <xdr:cNvPr id="89" name="Chart 88">
          <a:extLst>
            <a:ext uri="{FF2B5EF4-FFF2-40B4-BE49-F238E27FC236}">
              <a16:creationId xmlns:a16="http://schemas.microsoft.com/office/drawing/2014/main" id="{DC1879E3-DA04-4389-812F-D5D47E273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576928</xdr:colOff>
      <xdr:row>22</xdr:row>
      <xdr:rowOff>64133</xdr:rowOff>
    </xdr:from>
    <xdr:to>
      <xdr:col>28</xdr:col>
      <xdr:colOff>492260</xdr:colOff>
      <xdr:row>43</xdr:row>
      <xdr:rowOff>127000</xdr:rowOff>
    </xdr:to>
    <xdr:grpSp>
      <xdr:nvGrpSpPr>
        <xdr:cNvPr id="22" name="Group 21">
          <a:extLst>
            <a:ext uri="{FF2B5EF4-FFF2-40B4-BE49-F238E27FC236}">
              <a16:creationId xmlns:a16="http://schemas.microsoft.com/office/drawing/2014/main" id="{14B426A1-F867-C23D-0D2A-95D77AC7636C}"/>
            </a:ext>
          </a:extLst>
        </xdr:cNvPr>
        <xdr:cNvGrpSpPr/>
      </xdr:nvGrpSpPr>
      <xdr:grpSpPr>
        <a:xfrm>
          <a:off x="11666460" y="3987622"/>
          <a:ext cx="6076183" cy="3808016"/>
          <a:chOff x="11498928" y="4847800"/>
          <a:chExt cx="6053665" cy="3729983"/>
        </a:xfrm>
      </xdr:grpSpPr>
      <xdr:sp macro="" textlink="">
        <xdr:nvSpPr>
          <xdr:cNvPr id="3" name="Rectangle: Rounded Corners 2">
            <a:extLst>
              <a:ext uri="{FF2B5EF4-FFF2-40B4-BE49-F238E27FC236}">
                <a16:creationId xmlns:a16="http://schemas.microsoft.com/office/drawing/2014/main" id="{DD7A309F-2233-24E2-9A5B-7F7F91230D4A}"/>
              </a:ext>
            </a:extLst>
          </xdr:cNvPr>
          <xdr:cNvSpPr/>
        </xdr:nvSpPr>
        <xdr:spPr>
          <a:xfrm>
            <a:off x="11498928" y="4847800"/>
            <a:ext cx="6053665" cy="3729983"/>
          </a:xfrm>
          <a:prstGeom prst="roundRect">
            <a:avLst>
              <a:gd name="adj" fmla="val 8092"/>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8" name="Chart 57">
            <a:extLst>
              <a:ext uri="{FF2B5EF4-FFF2-40B4-BE49-F238E27FC236}">
                <a16:creationId xmlns:a16="http://schemas.microsoft.com/office/drawing/2014/main" id="{C7A795AF-26AB-4372-8082-D0C5EEA4B740}"/>
              </a:ext>
            </a:extLst>
          </xdr:cNvPr>
          <xdr:cNvGraphicFramePr>
            <a:graphicFrameLocks/>
          </xdr:cNvGraphicFramePr>
        </xdr:nvGraphicFramePr>
        <xdr:xfrm>
          <a:off x="11672300" y="5000894"/>
          <a:ext cx="5629537" cy="340226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29</xdr:col>
      <xdr:colOff>154429</xdr:colOff>
      <xdr:row>22</xdr:row>
      <xdr:rowOff>6047</xdr:rowOff>
    </xdr:from>
    <xdr:to>
      <xdr:col>38</xdr:col>
      <xdr:colOff>600028</xdr:colOff>
      <xdr:row>43</xdr:row>
      <xdr:rowOff>63500</xdr:rowOff>
    </xdr:to>
    <xdr:grpSp>
      <xdr:nvGrpSpPr>
        <xdr:cNvPr id="24" name="Group 23">
          <a:extLst>
            <a:ext uri="{FF2B5EF4-FFF2-40B4-BE49-F238E27FC236}">
              <a16:creationId xmlns:a16="http://schemas.microsoft.com/office/drawing/2014/main" id="{B16C4D71-5863-FB9C-0D83-EC1AF6161725}"/>
            </a:ext>
          </a:extLst>
        </xdr:cNvPr>
        <xdr:cNvGrpSpPr/>
      </xdr:nvGrpSpPr>
      <xdr:grpSpPr>
        <a:xfrm>
          <a:off x="18020897" y="3929536"/>
          <a:ext cx="5990365" cy="3802602"/>
          <a:chOff x="17955596" y="4197047"/>
          <a:chExt cx="5970099" cy="3811909"/>
        </a:xfrm>
      </xdr:grpSpPr>
      <xdr:sp macro="" textlink="">
        <xdr:nvSpPr>
          <xdr:cNvPr id="5" name="Rectangle: Rounded Corners 4">
            <a:extLst>
              <a:ext uri="{FF2B5EF4-FFF2-40B4-BE49-F238E27FC236}">
                <a16:creationId xmlns:a16="http://schemas.microsoft.com/office/drawing/2014/main" id="{C16DF358-5E9D-9C2B-ABE5-6E5C4E5CA208}"/>
              </a:ext>
            </a:extLst>
          </xdr:cNvPr>
          <xdr:cNvSpPr/>
        </xdr:nvSpPr>
        <xdr:spPr>
          <a:xfrm>
            <a:off x="17955596" y="4197047"/>
            <a:ext cx="5970099" cy="3811909"/>
          </a:xfrm>
          <a:prstGeom prst="roundRect">
            <a:avLst>
              <a:gd name="adj" fmla="val 6079"/>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0" name="Chart 59">
            <a:extLst>
              <a:ext uri="{FF2B5EF4-FFF2-40B4-BE49-F238E27FC236}">
                <a16:creationId xmlns:a16="http://schemas.microsoft.com/office/drawing/2014/main" id="{262806F7-7494-429E-976B-A6D3524EA0CF}"/>
              </a:ext>
            </a:extLst>
          </xdr:cNvPr>
          <xdr:cNvGraphicFramePr>
            <a:graphicFrameLocks/>
          </xdr:cNvGraphicFramePr>
        </xdr:nvGraphicFramePr>
        <xdr:xfrm>
          <a:off x="18139833" y="4330550"/>
          <a:ext cx="5681843" cy="354345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8</xdr:col>
      <xdr:colOff>499242</xdr:colOff>
      <xdr:row>46</xdr:row>
      <xdr:rowOff>21166</xdr:rowOff>
    </xdr:from>
    <xdr:to>
      <xdr:col>18</xdr:col>
      <xdr:colOff>38100</xdr:colOff>
      <xdr:row>66</xdr:row>
      <xdr:rowOff>76199</xdr:rowOff>
    </xdr:to>
    <xdr:graphicFrame macro="">
      <xdr:nvGraphicFramePr>
        <xdr:cNvPr id="57" name="Chart 56">
          <a:extLst>
            <a:ext uri="{FF2B5EF4-FFF2-40B4-BE49-F238E27FC236}">
              <a16:creationId xmlns:a16="http://schemas.microsoft.com/office/drawing/2014/main" id="{467ABC89-9DE4-422D-8AF0-087EBB0F5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472966</xdr:colOff>
      <xdr:row>45</xdr:row>
      <xdr:rowOff>56512</xdr:rowOff>
    </xdr:from>
    <xdr:to>
      <xdr:col>29</xdr:col>
      <xdr:colOff>66261</xdr:colOff>
      <xdr:row>67</xdr:row>
      <xdr:rowOff>42333</xdr:rowOff>
    </xdr:to>
    <xdr:sp macro="" textlink="">
      <xdr:nvSpPr>
        <xdr:cNvPr id="9" name="Rectangle: Rounded Corners 8">
          <a:extLst>
            <a:ext uri="{FF2B5EF4-FFF2-40B4-BE49-F238E27FC236}">
              <a16:creationId xmlns:a16="http://schemas.microsoft.com/office/drawing/2014/main" id="{3D68E1CB-EB43-C5AE-4DCC-1F4BE3649780}"/>
            </a:ext>
          </a:extLst>
        </xdr:cNvPr>
        <xdr:cNvSpPr/>
      </xdr:nvSpPr>
      <xdr:spPr>
        <a:xfrm>
          <a:off x="11521966" y="8629012"/>
          <a:ext cx="6345462" cy="4176821"/>
        </a:xfrm>
        <a:prstGeom prst="roundRect">
          <a:avLst>
            <a:gd name="adj" fmla="val 6079"/>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53162</xdr:colOff>
      <xdr:row>46</xdr:row>
      <xdr:rowOff>44824</xdr:rowOff>
    </xdr:from>
    <xdr:to>
      <xdr:col>28</xdr:col>
      <xdr:colOff>513906</xdr:colOff>
      <xdr:row>66</xdr:row>
      <xdr:rowOff>76200</xdr:rowOff>
    </xdr:to>
    <xdr:graphicFrame macro="">
      <xdr:nvGraphicFramePr>
        <xdr:cNvPr id="59" name="Chart 58">
          <a:extLst>
            <a:ext uri="{FF2B5EF4-FFF2-40B4-BE49-F238E27FC236}">
              <a16:creationId xmlns:a16="http://schemas.microsoft.com/office/drawing/2014/main" id="{04A50FBE-22D3-4CAD-9215-F4EEF57F2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447261</xdr:colOff>
      <xdr:row>45</xdr:row>
      <xdr:rowOff>62753</xdr:rowOff>
    </xdr:from>
    <xdr:to>
      <xdr:col>38</xdr:col>
      <xdr:colOff>530087</xdr:colOff>
      <xdr:row>66</xdr:row>
      <xdr:rowOff>38100</xdr:rowOff>
    </xdr:to>
    <xdr:graphicFrame macro="">
      <xdr:nvGraphicFramePr>
        <xdr:cNvPr id="61" name="Chart 60">
          <a:extLst>
            <a:ext uri="{FF2B5EF4-FFF2-40B4-BE49-F238E27FC236}">
              <a16:creationId xmlns:a16="http://schemas.microsoft.com/office/drawing/2014/main" id="{93CBCD27-DBA8-44AD-812F-25E116ACC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11.956424884258" createdVersion="8" refreshedVersion="8" minRefreshableVersion="3" recordCount="150" xr:uid="{136B152B-5AE5-4441-A7EF-A0A0E4137281}">
  <cacheSource type="worksheet">
    <worksheetSource name="Table1"/>
  </cacheSource>
  <cacheFields count="13">
    <cacheField name="Emp ID" numFmtId="0">
      <sharedItems count="150">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First_Name" numFmtId="0">
      <sharedItems/>
    </cacheField>
    <cacheField name="Last_Name" numFmtId="0">
      <sharedItems/>
    </cacheField>
    <cacheField name="Full Name" numFmtId="0">
      <sharedItems/>
    </cacheField>
    <cacheField name="Dept Code" numFmtId="0">
      <sharedItems/>
    </cacheField>
    <cacheField name="Department Name" numFmtId="0">
      <sharedItems count="6">
        <s v="Information Technology"/>
        <s v="Marketing"/>
        <s v="Finance"/>
        <s v="Operations"/>
        <s v="Sales"/>
        <s v="Human Resources"/>
      </sharedItems>
    </cacheField>
    <cacheField name="Hire Date" numFmtId="14">
      <sharedItems containsSemiMixedTypes="0" containsNonDate="0" containsDate="1" containsString="0" minDate="2015-01-04T00:00:00" maxDate="2023-12-13T00:00:00"/>
    </cacheField>
    <cacheField name="Year of Service" numFmtId="1">
      <sharedItems containsSemiMixedTypes="0" containsString="0" containsNumber="1" minValue="2.6" maxValue="11.5" count="73">
        <n v="8.5"/>
        <n v="4.2"/>
        <n v="10.3"/>
        <n v="3"/>
        <n v="3.4"/>
        <n v="6.3"/>
        <n v="2.6"/>
        <n v="5.6"/>
        <n v="9.6999999999999993"/>
        <n v="10.4"/>
        <n v="5.0999999999999996"/>
        <n v="6.1"/>
        <n v="6.5"/>
        <n v="2.9"/>
        <n v="10.6"/>
        <n v="9.1"/>
        <n v="8.1"/>
        <n v="10"/>
        <n v="8.6"/>
        <n v="3.8"/>
        <n v="4.0999999999999996"/>
        <n v="6.8"/>
        <n v="4"/>
        <n v="8.1999999999999993"/>
        <n v="11"/>
        <n v="10.9"/>
        <n v="2.8"/>
        <n v="7.1"/>
        <n v="4.5"/>
        <n v="9"/>
        <n v="3.9"/>
        <n v="6.2"/>
        <n v="8.8000000000000007"/>
        <n v="8.3000000000000007"/>
        <n v="7.3"/>
        <n v="6.9"/>
        <n v="9.8000000000000007"/>
        <n v="7"/>
        <n v="4.9000000000000004"/>
        <n v="9.4"/>
        <n v="4.4000000000000004"/>
        <n v="7.5"/>
        <n v="5.5"/>
        <n v="8.4"/>
        <n v="2.7"/>
        <n v="5.8"/>
        <n v="9.3000000000000007"/>
        <n v="11.2"/>
        <n v="9.1999999999999993"/>
        <n v="7.2"/>
        <n v="5"/>
        <n v="8"/>
        <n v="10.8"/>
        <n v="4.8"/>
        <n v="7.8"/>
        <n v="5.4"/>
        <n v="5.9"/>
        <n v="6.6"/>
        <n v="7.6"/>
        <n v="10.7"/>
        <n v="11.5"/>
        <n v="4.7"/>
        <n v="11.3"/>
        <n v="3.2"/>
        <n v="6.4"/>
        <n v="10.1"/>
        <n v="9.6"/>
        <n v="7.4"/>
        <n v="8.9"/>
        <n v="3.5"/>
        <n v="4.3"/>
        <n v="3.3"/>
        <n v="3.7"/>
      </sharedItems>
    </cacheField>
    <cacheField name="Salary" numFmtId="165">
      <sharedItems containsSemiMixedTypes="0" containsString="0" containsNumber="1" minValue="45196" maxValue="118947" count="132">
        <n v="50361"/>
        <n v="112673"/>
        <n v="114425"/>
        <n v="103831"/>
        <n v="73785"/>
        <n v="115882"/>
        <n v="59980"/>
        <n v="68728"/>
        <n v="102139"/>
        <n v="94998"/>
        <n v="118635"/>
        <n v="76918"/>
        <n v="61408"/>
        <n v="99990"/>
        <n v="80385"/>
        <n v="65290"/>
        <n v="105765"/>
        <n v="102921"/>
        <n v="73984"/>
        <n v="76218.5"/>
        <n v="118527"/>
        <n v="107871"/>
        <n v="93956"/>
        <n v="100851"/>
        <n v="68655"/>
        <n v="81205"/>
        <n v="77610"/>
        <n v="50873"/>
        <n v="85312"/>
        <n v="97055"/>
        <n v="66069"/>
        <n v="90157"/>
        <n v="59899"/>
        <n v="113389"/>
        <n v="102691"/>
        <n v="111845"/>
        <n v="69219"/>
        <n v="85457"/>
        <n v="57514"/>
        <n v="86245"/>
        <n v="52407"/>
        <n v="66606"/>
        <n v="81896"/>
        <n v="78402"/>
        <n v="105498"/>
        <n v="91749"/>
        <n v="99935"/>
        <n v="83531"/>
        <n v="75023"/>
        <n v="93290"/>
        <n v="115527"/>
        <n v="55920"/>
        <n v="80189"/>
        <n v="118947"/>
        <n v="68683"/>
        <n v="91655"/>
        <n v="49435"/>
        <n v="110381"/>
        <n v="114748"/>
        <n v="63302"/>
        <n v="75519"/>
        <n v="103891"/>
        <n v="50936"/>
        <n v="111240"/>
        <n v="51567"/>
        <n v="85691.5"/>
        <n v="55270"/>
        <n v="65235"/>
        <n v="48823"/>
        <n v="45196"/>
        <n v="86246"/>
        <n v="70359"/>
        <n v="83007"/>
        <n v="86480"/>
        <n v="47694"/>
        <n v="83724"/>
        <n v="98299"/>
        <n v="52287"/>
        <n v="82633"/>
        <n v="46508"/>
        <n v="86232"/>
        <n v="77545"/>
        <n v="83932"/>
        <n v="56073"/>
        <n v="88056"/>
        <n v="67414"/>
        <n v="115288"/>
        <n v="80140"/>
        <n v="73087"/>
        <n v="95292"/>
        <n v="101750"/>
        <n v="82992"/>
        <n v="49942"/>
        <n v="89060"/>
        <n v="53786"/>
        <n v="81167"/>
        <n v="66688"/>
        <n v="91672"/>
        <n v="77737"/>
        <n v="95686"/>
        <n v="114681"/>
        <n v="109121"/>
        <n v="112791"/>
        <n v="118008"/>
        <n v="74370"/>
        <n v="77819"/>
        <n v="48748"/>
        <n v="101997"/>
        <n v="115260"/>
        <n v="60623"/>
        <n v="68092"/>
        <n v="88155"/>
        <n v="107903"/>
        <n v="62818"/>
        <n v="85151"/>
        <n v="46390"/>
        <n v="111920"/>
        <n v="115618"/>
        <n v="110618"/>
        <n v="108395"/>
        <n v="88005"/>
        <n v="61547"/>
        <n v="50399"/>
        <n v="52720"/>
        <n v="65065"/>
        <n v="108119"/>
        <n v="106896"/>
        <n v="112887"/>
        <n v="62798"/>
        <n v="47794"/>
        <n v="93094"/>
        <n v="118634"/>
      </sharedItems>
    </cacheField>
    <cacheField name="Eligible Bonus" numFmtId="165">
      <sharedItems containsSemiMixedTypes="0" containsString="0" containsNumber="1" minValue="0" maxValue="14273.64" count="115">
        <n v="1007.22"/>
        <n v="5633.6500000000005"/>
        <n v="2288.5"/>
        <n v="5191.55"/>
        <n v="0"/>
        <n v="2999"/>
        <n v="5106.9500000000007"/>
        <n v="1899.96"/>
        <n v="1538.3600000000001"/>
        <n v="1999.8"/>
        <n v="4019.25"/>
        <n v="3264.5"/>
        <n v="5918.72"/>
        <n v="3810.9250000000002"/>
        <n v="2370.54"/>
        <n v="8629.68"/>
        <n v="1879.1200000000001"/>
        <n v="2017.02"/>
        <n v="1624.1000000000001"/>
        <n v="6208.8"/>
        <n v="4069.84"/>
        <n v="1706.24"/>
        <n v="1552.2"/>
        <n v="4852.75"/>
        <n v="3303.4500000000003"/>
        <n v="1803.14"/>
        <n v="2994.9500000000003"/>
        <n v="2053.8200000000002"/>
        <n v="13421.4"/>
        <n v="5537.52"/>
        <n v="4272.8500000000004"/>
        <n v="2875.7000000000003"/>
        <n v="4312.25"/>
        <n v="1048.1400000000001"/>
        <n v="5328.4800000000005"/>
        <n v="4094.8"/>
        <n v="1568.04"/>
        <n v="5274.9000000000005"/>
        <n v="4587.45"/>
        <n v="4996.75"/>
        <n v="3751.15"/>
        <n v="1865.8"/>
        <n v="2310.54"/>
        <n v="2796"/>
        <n v="14273.64"/>
        <n v="1524.3700000000001"/>
        <n v="3434.15"/>
        <n v="10998.6"/>
        <n v="988.7"/>
        <n v="8830.48"/>
        <n v="5064.16"/>
        <n v="1510.38"/>
        <n v="5194.55"/>
        <n v="6112.32"/>
        <n v="2224.8000000000002"/>
        <n v="4125.3599999999997"/>
        <n v="4421.6000000000004"/>
        <n v="7828.2"/>
        <n v="3880.5"/>
        <n v="2259.8000000000002"/>
        <n v="1724.92"/>
        <n v="3517.9500000000003"/>
        <n v="6640.56"/>
        <n v="4324"/>
        <n v="2384.7000000000003"/>
        <n v="4186.2"/>
        <n v="1965.98"/>
        <n v="1709.14"/>
        <n v="2614.3500000000004"/>
        <n v="9915.9599999999991"/>
        <n v="6898.56"/>
        <n v="5494.64"/>
        <n v="1678.64"/>
        <n v="2803.65"/>
        <n v="1761.1200000000001"/>
        <n v="3370.7000000000003"/>
        <n v="2305.7600000000002"/>
        <n v="1602.8"/>
        <n v="1461.74"/>
        <n v="5087.5"/>
        <n v="4149.6000000000004"/>
        <n v="998.84"/>
        <n v="1781.2"/>
        <n v="6454.32"/>
        <n v="4058.3500000000004"/>
        <n v="7333.76"/>
        <n v="3886.8500000000004"/>
        <n v="7654.88"/>
        <n v="5456.05"/>
        <n v="9023.2800000000007"/>
        <n v="5900.4000000000005"/>
        <n v="3718.5"/>
        <n v="3890.9500000000003"/>
        <n v="2437.4"/>
        <n v="5763"/>
        <n v="3031.15"/>
        <n v="5447.36"/>
        <n v="1763.1000000000001"/>
        <n v="5566.8"/>
        <n v="8953.6"/>
        <n v="8849.44"/>
        <n v="5419.75"/>
        <n v="1760.1000000000001"/>
        <n v="4150.3500000000004"/>
        <n v="1230.94"/>
        <n v="4031.92"/>
        <n v="1054.4000000000001"/>
        <n v="7807.7999999999993"/>
        <n v="2162.38"/>
        <n v="9146.2199999999993"/>
        <n v="2137.92"/>
        <n v="2257.7400000000002"/>
        <n v="2389.7000000000003"/>
        <n v="4654.7"/>
        <n v="9490.7199999999993"/>
      </sharedItems>
    </cacheField>
    <cacheField name="Perf_Score" numFmtId="0">
      <sharedItems containsSemiMixedTypes="0" containsString="0" containsNumber="1" containsInteger="1" minValue="30" maxValue="99" count="58">
        <n v="52"/>
        <n v="74"/>
        <n v="54"/>
        <n v="70"/>
        <n v="40"/>
        <n v="49"/>
        <n v="45"/>
        <n v="79"/>
        <n v="58"/>
        <n v="62"/>
        <n v="48"/>
        <n v="77"/>
        <n v="42"/>
        <n v="93"/>
        <n v="75"/>
        <n v="50"/>
        <n v="88"/>
        <n v="64"/>
        <n v="32"/>
        <n v="59"/>
        <n v="90"/>
        <n v="66"/>
        <n v="68"/>
        <n v="80"/>
        <n v="72"/>
        <n v="78"/>
        <n v="30"/>
        <n v="98"/>
        <n v="71"/>
        <n v="55"/>
        <n v="76"/>
        <n v="84"/>
        <n v="53"/>
        <n v="63"/>
        <n v="96"/>
        <n v="95"/>
        <n v="65"/>
        <n v="33"/>
        <n v="91"/>
        <n v="46"/>
        <n v="99"/>
        <n v="61"/>
        <n v="87"/>
        <n v="36"/>
        <n v="97"/>
        <n v="67"/>
        <n v="34"/>
        <n v="94"/>
        <n v="81"/>
        <n v="57"/>
        <n v="69"/>
        <n v="51"/>
        <n v="82"/>
        <n v="83"/>
        <n v="38"/>
        <n v="35"/>
        <n v="92"/>
        <n v="73"/>
      </sharedItems>
    </cacheField>
    <cacheField name="Performance Band" numFmtId="0">
      <sharedItems count="5">
        <s v="Developing"/>
        <s v="Achieving"/>
        <s v="Needs Improvement"/>
        <s v="Exceeding"/>
        <s v="Outstanding"/>
      </sharedItems>
    </cacheField>
    <cacheField name="Employment Status" numFmtId="0">
      <sharedItems count="3">
        <s v="ACTIVE"/>
        <s v="LEFT"/>
        <s v="RESIGNED"/>
      </sharedItems>
    </cacheField>
  </cacheFields>
  <extLst>
    <ext xmlns:x14="http://schemas.microsoft.com/office/spreadsheetml/2009/9/main" uri="{725AE2AE-9491-48be-B2B4-4EB974FC3084}">
      <x14:pivotCacheDefinition pivotCacheId="356505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Emily"/>
    <s v="Brown"/>
    <s v="Emily Brown"/>
    <s v="IT02"/>
    <x v="0"/>
    <d v="2017-12-24T00:00:00"/>
    <x v="0"/>
    <x v="0"/>
    <x v="0"/>
    <x v="0"/>
    <x v="0"/>
    <x v="0"/>
  </r>
  <r>
    <x v="1"/>
    <s v="Richard"/>
    <s v="Hernandez"/>
    <s v="Richard Hernandez"/>
    <s v="MKT04"/>
    <x v="1"/>
    <d v="2022-04-08T00:00:00"/>
    <x v="1"/>
    <x v="1"/>
    <x v="1"/>
    <x v="1"/>
    <x v="1"/>
    <x v="0"/>
  </r>
  <r>
    <x v="2"/>
    <s v="Emily"/>
    <s v="Gonzalez"/>
    <s v="Emily Gonzalez"/>
    <s v="IT02"/>
    <x v="0"/>
    <d v="2016-03-02T00:00:00"/>
    <x v="2"/>
    <x v="2"/>
    <x v="2"/>
    <x v="2"/>
    <x v="0"/>
    <x v="1"/>
  </r>
  <r>
    <x v="3"/>
    <s v="John"/>
    <s v="Martinez"/>
    <s v="John Martinez"/>
    <s v="FIN03"/>
    <x v="2"/>
    <d v="2023-07-03T00:00:00"/>
    <x v="3"/>
    <x v="3"/>
    <x v="3"/>
    <x v="3"/>
    <x v="1"/>
    <x v="0"/>
  </r>
  <r>
    <x v="4"/>
    <s v="Thomas"/>
    <s v="Smith"/>
    <s v="Thomas Smith"/>
    <s v="IT02"/>
    <x v="0"/>
    <d v="2023-02-20T00:00:00"/>
    <x v="4"/>
    <x v="4"/>
    <x v="4"/>
    <x v="4"/>
    <x v="2"/>
    <x v="1"/>
  </r>
  <r>
    <x v="5"/>
    <s v="Emily"/>
    <s v="Johnson"/>
    <s v="Emily Johnson"/>
    <s v="OPS06"/>
    <x v="3"/>
    <d v="2020-03-02T00:00:00"/>
    <x v="5"/>
    <x v="5"/>
    <x v="4"/>
    <x v="5"/>
    <x v="2"/>
    <x v="0"/>
  </r>
  <r>
    <x v="6"/>
    <s v="John"/>
    <s v="Wilson"/>
    <s v="John Wilson"/>
    <s v="OPS06"/>
    <x v="3"/>
    <d v="2023-12-12T00:00:00"/>
    <x v="6"/>
    <x v="6"/>
    <x v="5"/>
    <x v="3"/>
    <x v="1"/>
    <x v="1"/>
  </r>
  <r>
    <x v="7"/>
    <s v="Jessica"/>
    <s v="Smith"/>
    <s v="Jessica Smith"/>
    <s v="OPS06"/>
    <x v="3"/>
    <d v="2020-12-09T00:00:00"/>
    <x v="7"/>
    <x v="7"/>
    <x v="4"/>
    <x v="6"/>
    <x v="2"/>
    <x v="0"/>
  </r>
  <r>
    <x v="8"/>
    <s v="Unknown"/>
    <s v="Rodriguez"/>
    <s v="Unknown Rodriguez"/>
    <s v="FIN03"/>
    <x v="2"/>
    <d v="2018-01-07T00:00:00"/>
    <x v="0"/>
    <x v="8"/>
    <x v="6"/>
    <x v="7"/>
    <x v="1"/>
    <x v="0"/>
  </r>
  <r>
    <x v="9"/>
    <s v="Michael"/>
    <s v="Martinez"/>
    <s v="Michael Martinez"/>
    <s v="SAL05"/>
    <x v="4"/>
    <d v="2016-11-02T00:00:00"/>
    <x v="8"/>
    <x v="9"/>
    <x v="7"/>
    <x v="8"/>
    <x v="0"/>
    <x v="0"/>
  </r>
  <r>
    <x v="10"/>
    <s v="Emily"/>
    <s v="Miller"/>
    <s v="Emily Miller"/>
    <s v="SAL05"/>
    <x v="4"/>
    <d v="2020-03-21T00:00:00"/>
    <x v="5"/>
    <x v="10"/>
    <x v="4"/>
    <x v="5"/>
    <x v="2"/>
    <x v="0"/>
  </r>
  <r>
    <x v="11"/>
    <s v="Emily"/>
    <s v="Hernandez"/>
    <s v="Emily Hernandez"/>
    <s v="IT02"/>
    <x v="0"/>
    <d v="2016-02-25T00:00:00"/>
    <x v="9"/>
    <x v="11"/>
    <x v="8"/>
    <x v="9"/>
    <x v="0"/>
    <x v="0"/>
  </r>
  <r>
    <x v="12"/>
    <s v="Jane"/>
    <s v="Williams"/>
    <s v="Jane Williams"/>
    <s v="MKT04"/>
    <x v="1"/>
    <d v="2021-06-17T00:00:00"/>
    <x v="10"/>
    <x v="12"/>
    <x v="4"/>
    <x v="10"/>
    <x v="2"/>
    <x v="0"/>
  </r>
  <r>
    <x v="13"/>
    <s v="Jane"/>
    <s v="Miller"/>
    <s v="Jane Miller"/>
    <s v="MKT04"/>
    <x v="1"/>
    <d v="2020-06-19T00:00:00"/>
    <x v="11"/>
    <x v="13"/>
    <x v="9"/>
    <x v="2"/>
    <x v="0"/>
    <x v="0"/>
  </r>
  <r>
    <x v="14"/>
    <s v="Robert"/>
    <s v="Jones"/>
    <s v="Robert Jones"/>
    <s v="MKT04"/>
    <x v="1"/>
    <d v="2019-12-21T00:00:00"/>
    <x v="12"/>
    <x v="14"/>
    <x v="10"/>
    <x v="1"/>
    <x v="1"/>
    <x v="0"/>
  </r>
  <r>
    <x v="15"/>
    <s v="Thomas"/>
    <s v="Rodriguez"/>
    <s v="Thomas Rodriguez"/>
    <s v="SAL05"/>
    <x v="4"/>
    <d v="2023-08-31T00:00:00"/>
    <x v="13"/>
    <x v="15"/>
    <x v="11"/>
    <x v="11"/>
    <x v="1"/>
    <x v="0"/>
  </r>
  <r>
    <x v="16"/>
    <s v="Emily"/>
    <s v="Davis"/>
    <s v="Emily Davis"/>
    <s v="IT02"/>
    <x v="0"/>
    <d v="2015-11-29T00:00:00"/>
    <x v="14"/>
    <x v="16"/>
    <x v="4"/>
    <x v="12"/>
    <x v="2"/>
    <x v="0"/>
  </r>
  <r>
    <x v="17"/>
    <s v="James"/>
    <s v="Martinez"/>
    <s v="James Martinez"/>
    <s v="SAL05"/>
    <x v="4"/>
    <d v="2017-06-13T00:00:00"/>
    <x v="15"/>
    <x v="17"/>
    <x v="4"/>
    <x v="5"/>
    <x v="2"/>
    <x v="0"/>
  </r>
  <r>
    <x v="18"/>
    <s v="Ashley"/>
    <s v="Lopez"/>
    <s v="Ashley Lopez"/>
    <s v="MKT04"/>
    <x v="1"/>
    <d v="2018-05-15T00:00:00"/>
    <x v="16"/>
    <x v="18"/>
    <x v="12"/>
    <x v="13"/>
    <x v="3"/>
    <x v="0"/>
  </r>
  <r>
    <x v="19"/>
    <s v="Amanda"/>
    <s v="Gonzalez"/>
    <s v="Amanda Gonzalez"/>
    <s v="IT02"/>
    <x v="0"/>
    <d v="2016-07-24T00:00:00"/>
    <x v="17"/>
    <x v="19"/>
    <x v="13"/>
    <x v="14"/>
    <x v="1"/>
    <x v="0"/>
  </r>
  <r>
    <x v="20"/>
    <s v="Michael"/>
    <s v="Hernandez"/>
    <s v="Michael Hernandez"/>
    <s v="FIN03"/>
    <x v="2"/>
    <d v="2017-12-07T00:00:00"/>
    <x v="18"/>
    <x v="20"/>
    <x v="14"/>
    <x v="15"/>
    <x v="0"/>
    <x v="0"/>
  </r>
  <r>
    <x v="21"/>
    <s v="Richard"/>
    <s v="Hernandez"/>
    <s v="Richard Hernandez"/>
    <s v="MKT04"/>
    <x v="1"/>
    <d v="2021-06-06T00:00:00"/>
    <x v="10"/>
    <x v="21"/>
    <x v="15"/>
    <x v="16"/>
    <x v="3"/>
    <x v="0"/>
  </r>
  <r>
    <x v="22"/>
    <s v="Michael"/>
    <s v="Rodriguez"/>
    <s v="Michael Rodriguez"/>
    <s v="IT02"/>
    <x v="0"/>
    <d v="2022-09-11T00:00:00"/>
    <x v="19"/>
    <x v="22"/>
    <x v="16"/>
    <x v="15"/>
    <x v="0"/>
    <x v="1"/>
  </r>
  <r>
    <x v="23"/>
    <s v="Jessica"/>
    <s v="Johnson"/>
    <s v="Jessica Johnson"/>
    <s v="FIN03"/>
    <x v="2"/>
    <d v="2016-07-14T00:00:00"/>
    <x v="17"/>
    <x v="23"/>
    <x v="17"/>
    <x v="17"/>
    <x v="0"/>
    <x v="0"/>
  </r>
  <r>
    <x v="24"/>
    <s v="Ashley"/>
    <s v="Williams"/>
    <s v="Ashley Williams"/>
    <s v="SAL05"/>
    <x v="4"/>
    <d v="2022-06-16T00:00:00"/>
    <x v="20"/>
    <x v="24"/>
    <x v="4"/>
    <x v="18"/>
    <x v="2"/>
    <x v="0"/>
  </r>
  <r>
    <x v="25"/>
    <s v="Unknown"/>
    <s v="Williams"/>
    <s v="Unknown Williams"/>
    <s v="SAL05"/>
    <x v="4"/>
    <d v="2023-07-27T00:00:00"/>
    <x v="13"/>
    <x v="25"/>
    <x v="18"/>
    <x v="19"/>
    <x v="0"/>
    <x v="0"/>
  </r>
  <r>
    <x v="26"/>
    <s v="John"/>
    <s v="Wilson"/>
    <s v="John Wilson"/>
    <s v="SAL05"/>
    <x v="4"/>
    <d v="2019-09-24T00:00:00"/>
    <x v="21"/>
    <x v="26"/>
    <x v="19"/>
    <x v="16"/>
    <x v="3"/>
    <x v="0"/>
  </r>
  <r>
    <x v="27"/>
    <s v="Thomas"/>
    <s v="Rodriguez"/>
    <s v="Thomas Rodriguez"/>
    <s v="IT02"/>
    <x v="0"/>
    <d v="2022-07-23T00:00:00"/>
    <x v="22"/>
    <x v="27"/>
    <x v="20"/>
    <x v="20"/>
    <x v="3"/>
    <x v="0"/>
  </r>
  <r>
    <x v="28"/>
    <s v="Michael"/>
    <s v="Wilson"/>
    <s v="Michael Wilson"/>
    <s v="FIN03"/>
    <x v="2"/>
    <d v="2018-05-13T00:00:00"/>
    <x v="23"/>
    <x v="28"/>
    <x v="21"/>
    <x v="21"/>
    <x v="0"/>
    <x v="0"/>
  </r>
  <r>
    <x v="29"/>
    <s v="John"/>
    <s v="Rodriguez"/>
    <s v="John Rodriguez"/>
    <s v="SAL05"/>
    <x v="4"/>
    <d v="2015-07-17T00:00:00"/>
    <x v="24"/>
    <x v="26"/>
    <x v="22"/>
    <x v="22"/>
    <x v="0"/>
    <x v="0"/>
  </r>
  <r>
    <x v="30"/>
    <s v="Thomas"/>
    <s v="Hernandez"/>
    <s v="Thomas Hernandez"/>
    <s v="OPS06"/>
    <x v="3"/>
    <d v="2015-08-05T00:00:00"/>
    <x v="25"/>
    <x v="29"/>
    <x v="23"/>
    <x v="23"/>
    <x v="1"/>
    <x v="0"/>
  </r>
  <r>
    <x v="31"/>
    <s v="Michael"/>
    <s v="Johnson"/>
    <s v="Michael Johnson"/>
    <s v="IT02"/>
    <x v="0"/>
    <d v="2023-09-26T00:00:00"/>
    <x v="26"/>
    <x v="30"/>
    <x v="24"/>
    <x v="24"/>
    <x v="1"/>
    <x v="0"/>
  </r>
  <r>
    <x v="32"/>
    <s v="Sarah"/>
    <s v="Brown"/>
    <s v="Sarah Brown"/>
    <s v="IT02"/>
    <x v="0"/>
    <d v="2019-06-10T00:00:00"/>
    <x v="27"/>
    <x v="31"/>
    <x v="25"/>
    <x v="8"/>
    <x v="0"/>
    <x v="0"/>
  </r>
  <r>
    <x v="33"/>
    <s v="Jane"/>
    <s v="Martinez"/>
    <s v="Jane Martinez"/>
    <s v="HR01"/>
    <x v="5"/>
    <d v="2022-01-17T00:00:00"/>
    <x v="28"/>
    <x v="32"/>
    <x v="26"/>
    <x v="25"/>
    <x v="1"/>
    <x v="0"/>
  </r>
  <r>
    <x v="34"/>
    <s v="Emily"/>
    <s v="Jones"/>
    <s v="Emily Jones"/>
    <s v="FIN03"/>
    <x v="2"/>
    <d v="2017-07-03T00:00:00"/>
    <x v="29"/>
    <x v="33"/>
    <x v="4"/>
    <x v="26"/>
    <x v="2"/>
    <x v="0"/>
  </r>
  <r>
    <x v="35"/>
    <s v="Unknown"/>
    <s v="Brown"/>
    <s v="Unknown Brown"/>
    <s v="IT02"/>
    <x v="0"/>
    <d v="2015-09-01T00:00:00"/>
    <x v="25"/>
    <x v="34"/>
    <x v="27"/>
    <x v="0"/>
    <x v="0"/>
    <x v="0"/>
  </r>
  <r>
    <x v="36"/>
    <s v="John"/>
    <s v="Wilson"/>
    <s v="John Wilson"/>
    <s v="OPS06"/>
    <x v="3"/>
    <d v="2022-08-03T00:00:00"/>
    <x v="30"/>
    <x v="35"/>
    <x v="28"/>
    <x v="27"/>
    <x v="4"/>
    <x v="0"/>
  </r>
  <r>
    <x v="37"/>
    <s v="Melissa"/>
    <s v="Brown"/>
    <s v="Melissa Brown"/>
    <s v="SAL05"/>
    <x v="4"/>
    <d v="2022-06-29T00:00:00"/>
    <x v="22"/>
    <x v="36"/>
    <x v="29"/>
    <x v="13"/>
    <x v="3"/>
    <x v="0"/>
  </r>
  <r>
    <x v="38"/>
    <s v="Michael"/>
    <s v="Smith"/>
    <s v="Michael Smith"/>
    <s v="FIN03"/>
    <x v="2"/>
    <d v="2020-04-28T00:00:00"/>
    <x v="31"/>
    <x v="37"/>
    <x v="30"/>
    <x v="23"/>
    <x v="1"/>
    <x v="1"/>
  </r>
  <r>
    <x v="39"/>
    <s v="Sarah"/>
    <s v="Miller"/>
    <s v="Sarah Miller"/>
    <s v="OPS06"/>
    <x v="3"/>
    <d v="2017-09-09T00:00:00"/>
    <x v="32"/>
    <x v="38"/>
    <x v="31"/>
    <x v="24"/>
    <x v="1"/>
    <x v="0"/>
  </r>
  <r>
    <x v="40"/>
    <s v="Emily"/>
    <s v="Wilson"/>
    <s v="Emily Wilson"/>
    <s v="SAL05"/>
    <x v="4"/>
    <d v="2018-03-22T00:00:00"/>
    <x v="33"/>
    <x v="39"/>
    <x v="32"/>
    <x v="28"/>
    <x v="1"/>
    <x v="1"/>
  </r>
  <r>
    <x v="41"/>
    <s v="David"/>
    <s v="Hernandez"/>
    <s v="David Hernandez"/>
    <s v="SAL05"/>
    <x v="4"/>
    <d v="2020-05-07T00:00:00"/>
    <x v="31"/>
    <x v="40"/>
    <x v="33"/>
    <x v="29"/>
    <x v="0"/>
    <x v="0"/>
  </r>
  <r>
    <x v="42"/>
    <s v="James"/>
    <s v="Smith"/>
    <s v="James Smith"/>
    <s v="OPS06"/>
    <x v="3"/>
    <d v="2019-03-25T00:00:00"/>
    <x v="34"/>
    <x v="41"/>
    <x v="34"/>
    <x v="13"/>
    <x v="3"/>
    <x v="2"/>
  </r>
  <r>
    <x v="43"/>
    <s v="Sarah"/>
    <s v="Williams"/>
    <s v="Sarah Williams"/>
    <s v="IT02"/>
    <x v="0"/>
    <d v="2019-08-09T00:00:00"/>
    <x v="35"/>
    <x v="42"/>
    <x v="35"/>
    <x v="7"/>
    <x v="1"/>
    <x v="2"/>
  </r>
  <r>
    <x v="44"/>
    <s v="Amanda"/>
    <s v="Lopez"/>
    <s v="Amanda Lopez"/>
    <s v="SAL05"/>
    <x v="4"/>
    <d v="2016-07-14T00:00:00"/>
    <x v="17"/>
    <x v="43"/>
    <x v="36"/>
    <x v="2"/>
    <x v="0"/>
    <x v="0"/>
  </r>
  <r>
    <x v="45"/>
    <s v="Thomas"/>
    <s v="Lopez"/>
    <s v="Thomas Lopez"/>
    <s v="OPS06"/>
    <x v="3"/>
    <d v="2016-10-04T00:00:00"/>
    <x v="36"/>
    <x v="44"/>
    <x v="37"/>
    <x v="30"/>
    <x v="1"/>
    <x v="0"/>
  </r>
  <r>
    <x v="46"/>
    <s v="Melissa"/>
    <s v="Johnson"/>
    <s v="Melissa Johnson"/>
    <s v="MKT04"/>
    <x v="1"/>
    <d v="2019-07-10T00:00:00"/>
    <x v="37"/>
    <x v="45"/>
    <x v="38"/>
    <x v="24"/>
    <x v="1"/>
    <x v="1"/>
  </r>
  <r>
    <x v="47"/>
    <s v="Amanda"/>
    <s v="Johnson"/>
    <s v="Amanda Johnson"/>
    <s v="OPS06"/>
    <x v="3"/>
    <d v="2021-08-29T00:00:00"/>
    <x v="38"/>
    <x v="46"/>
    <x v="39"/>
    <x v="31"/>
    <x v="1"/>
    <x v="2"/>
  </r>
  <r>
    <x v="48"/>
    <s v="John"/>
    <s v="Davis"/>
    <s v="John Davis"/>
    <s v="IT02"/>
    <x v="0"/>
    <d v="2017-01-26T00:00:00"/>
    <x v="39"/>
    <x v="47"/>
    <x v="4"/>
    <x v="26"/>
    <x v="2"/>
    <x v="1"/>
  </r>
  <r>
    <x v="49"/>
    <s v="James"/>
    <s v="Johnson"/>
    <s v="James Johnson"/>
    <s v="MKT04"/>
    <x v="1"/>
    <d v="2020-05-30T00:00:00"/>
    <x v="11"/>
    <x v="48"/>
    <x v="40"/>
    <x v="1"/>
    <x v="1"/>
    <x v="0"/>
  </r>
  <r>
    <x v="50"/>
    <s v="Jane"/>
    <s v="Davis"/>
    <s v="Jane Davis"/>
    <s v="HR01"/>
    <x v="5"/>
    <d v="2022-02-20T00:00:00"/>
    <x v="40"/>
    <x v="49"/>
    <x v="41"/>
    <x v="32"/>
    <x v="0"/>
    <x v="0"/>
  </r>
  <r>
    <x v="51"/>
    <s v="Richard"/>
    <s v="Davis"/>
    <s v="Richard Davis"/>
    <s v="OPS06"/>
    <x v="3"/>
    <d v="2016-09-15T00:00:00"/>
    <x v="36"/>
    <x v="50"/>
    <x v="42"/>
    <x v="33"/>
    <x v="0"/>
    <x v="2"/>
  </r>
  <r>
    <x v="52"/>
    <s v="Thomas"/>
    <s v="Rodriguez"/>
    <s v="Thomas Rodriguez"/>
    <s v="FIN03"/>
    <x v="2"/>
    <d v="2019-10-07T00:00:00"/>
    <x v="21"/>
    <x v="51"/>
    <x v="43"/>
    <x v="31"/>
    <x v="1"/>
    <x v="0"/>
  </r>
  <r>
    <x v="53"/>
    <s v="Emily"/>
    <s v="Johnson"/>
    <s v="Emily Johnson"/>
    <s v="SAL05"/>
    <x v="4"/>
    <d v="2018-12-30T00:00:00"/>
    <x v="41"/>
    <x v="52"/>
    <x v="4"/>
    <x v="26"/>
    <x v="2"/>
    <x v="0"/>
  </r>
  <r>
    <x v="54"/>
    <s v="Emily"/>
    <s v="Garcia"/>
    <s v="Emily Garcia"/>
    <s v="HR01"/>
    <x v="5"/>
    <d v="2020-12-24T00:00:00"/>
    <x v="42"/>
    <x v="53"/>
    <x v="44"/>
    <x v="34"/>
    <x v="4"/>
    <x v="0"/>
  </r>
  <r>
    <x v="55"/>
    <s v="Jane"/>
    <s v="Anderson"/>
    <s v="Jane Anderson"/>
    <s v="IT02"/>
    <x v="0"/>
    <d v="2023-07-05T00:00:00"/>
    <x v="3"/>
    <x v="19"/>
    <x v="45"/>
    <x v="2"/>
    <x v="0"/>
    <x v="0"/>
  </r>
  <r>
    <x v="56"/>
    <s v="Thomas"/>
    <s v="Garcia"/>
    <s v="Thomas Garcia"/>
    <s v="OPS06"/>
    <x v="3"/>
    <d v="2020-11-13T00:00:00"/>
    <x v="7"/>
    <x v="54"/>
    <x v="46"/>
    <x v="14"/>
    <x v="1"/>
    <x v="0"/>
  </r>
  <r>
    <x v="57"/>
    <s v="David"/>
    <s v="Martinez"/>
    <s v="David Martinez"/>
    <s v="HR01"/>
    <x v="5"/>
    <d v="2018-02-07T00:00:00"/>
    <x v="43"/>
    <x v="55"/>
    <x v="47"/>
    <x v="35"/>
    <x v="4"/>
    <x v="0"/>
  </r>
  <r>
    <x v="58"/>
    <s v="Emily"/>
    <s v="Brown"/>
    <s v="Emily Brown"/>
    <s v="IT02"/>
    <x v="0"/>
    <d v="2023-11-25T00:00:00"/>
    <x v="6"/>
    <x v="56"/>
    <x v="48"/>
    <x v="36"/>
    <x v="0"/>
    <x v="1"/>
  </r>
  <r>
    <x v="59"/>
    <s v="Emily"/>
    <s v="Wilson"/>
    <s v="Emily Wilson"/>
    <s v="SAL05"/>
    <x v="4"/>
    <d v="2023-10-18T00:00:00"/>
    <x v="44"/>
    <x v="57"/>
    <x v="49"/>
    <x v="13"/>
    <x v="3"/>
    <x v="0"/>
  </r>
  <r>
    <x v="60"/>
    <s v="Michael"/>
    <s v="Anderson"/>
    <s v="Michael Anderson"/>
    <s v="HR01"/>
    <x v="5"/>
    <d v="2020-09-05T00:00:00"/>
    <x v="45"/>
    <x v="58"/>
    <x v="4"/>
    <x v="37"/>
    <x v="2"/>
    <x v="0"/>
  </r>
  <r>
    <x v="61"/>
    <s v="Robert"/>
    <s v="Johnson"/>
    <s v="Robert Johnson"/>
    <s v="OPS06"/>
    <x v="3"/>
    <d v="2017-03-06T00:00:00"/>
    <x v="46"/>
    <x v="59"/>
    <x v="50"/>
    <x v="38"/>
    <x v="3"/>
    <x v="0"/>
  </r>
  <r>
    <x v="62"/>
    <s v="Robert"/>
    <s v="Miller"/>
    <s v="Robert Miller"/>
    <s v="IT02"/>
    <x v="0"/>
    <d v="2015-04-28T00:00:00"/>
    <x v="47"/>
    <x v="60"/>
    <x v="51"/>
    <x v="17"/>
    <x v="0"/>
    <x v="0"/>
  </r>
  <r>
    <x v="63"/>
    <s v="Jane"/>
    <s v="Davis"/>
    <s v="Jane Davis"/>
    <s v="FIN03"/>
    <x v="2"/>
    <d v="2017-04-13T00:00:00"/>
    <x v="48"/>
    <x v="61"/>
    <x v="52"/>
    <x v="23"/>
    <x v="1"/>
    <x v="0"/>
  </r>
  <r>
    <x v="64"/>
    <s v="Thomas"/>
    <s v="Davis"/>
    <s v="Thomas Davis"/>
    <s v="OPS06"/>
    <x v="3"/>
    <d v="2022-09-23T00:00:00"/>
    <x v="19"/>
    <x v="54"/>
    <x v="4"/>
    <x v="39"/>
    <x v="2"/>
    <x v="1"/>
  </r>
  <r>
    <x v="65"/>
    <s v="Thomas"/>
    <s v="Jones"/>
    <s v="Thomas Jones"/>
    <s v="MKT04"/>
    <x v="1"/>
    <d v="2016-11-11T00:00:00"/>
    <x v="8"/>
    <x v="62"/>
    <x v="53"/>
    <x v="40"/>
    <x v="4"/>
    <x v="0"/>
  </r>
  <r>
    <x v="66"/>
    <s v="Michael"/>
    <s v="Miller"/>
    <s v="Michael Miller"/>
    <s v="SAL05"/>
    <x v="4"/>
    <d v="2017-03-24T00:00:00"/>
    <x v="46"/>
    <x v="63"/>
    <x v="54"/>
    <x v="41"/>
    <x v="0"/>
    <x v="0"/>
  </r>
  <r>
    <x v="67"/>
    <s v="Richard"/>
    <s v="Gonzalez"/>
    <s v="Richard Gonzalez"/>
    <s v="HR01"/>
    <x v="5"/>
    <d v="2019-05-05T00:00:00"/>
    <x v="49"/>
    <x v="64"/>
    <x v="55"/>
    <x v="42"/>
    <x v="3"/>
    <x v="2"/>
  </r>
  <r>
    <x v="68"/>
    <s v="Melissa"/>
    <s v="Williams"/>
    <s v="Melissa Williams"/>
    <s v="HR01"/>
    <x v="5"/>
    <d v="2021-07-25T00:00:00"/>
    <x v="50"/>
    <x v="65"/>
    <x v="4"/>
    <x v="43"/>
    <x v="2"/>
    <x v="0"/>
  </r>
  <r>
    <x v="69"/>
    <s v="Robert"/>
    <s v="Miller"/>
    <s v="Robert Miller"/>
    <s v="HR01"/>
    <x v="5"/>
    <d v="2017-09-30T00:00:00"/>
    <x v="32"/>
    <x v="66"/>
    <x v="56"/>
    <x v="42"/>
    <x v="3"/>
    <x v="0"/>
  </r>
  <r>
    <x v="70"/>
    <s v="William"/>
    <s v="Garcia"/>
    <s v="William Garcia"/>
    <s v="SAL05"/>
    <x v="4"/>
    <d v="2015-07-07T00:00:00"/>
    <x v="24"/>
    <x v="67"/>
    <x v="57"/>
    <x v="44"/>
    <x v="4"/>
    <x v="0"/>
  </r>
  <r>
    <x v="71"/>
    <s v="John"/>
    <s v="Gonzalez"/>
    <s v="John Gonzalez"/>
    <s v="SAL05"/>
    <x v="4"/>
    <d v="2018-07-02T00:00:00"/>
    <x v="51"/>
    <x v="26"/>
    <x v="58"/>
    <x v="24"/>
    <x v="1"/>
    <x v="1"/>
  </r>
  <r>
    <x v="72"/>
    <s v="James"/>
    <s v="Gonzalez"/>
    <s v="James Gonzalez"/>
    <s v="SAL05"/>
    <x v="4"/>
    <d v="2022-09-15T00:00:00"/>
    <x v="19"/>
    <x v="26"/>
    <x v="22"/>
    <x v="36"/>
    <x v="0"/>
    <x v="1"/>
  </r>
  <r>
    <x v="73"/>
    <s v="Jane"/>
    <s v="Gonzalez"/>
    <s v="Jane Gonzalez"/>
    <s v="SAL05"/>
    <x v="4"/>
    <d v="2015-09-02T00:00:00"/>
    <x v="52"/>
    <x v="26"/>
    <x v="22"/>
    <x v="45"/>
    <x v="0"/>
    <x v="0"/>
  </r>
  <r>
    <x v="74"/>
    <s v="David"/>
    <s v="Wilson"/>
    <s v="David Wilson"/>
    <s v="OPS06"/>
    <x v="3"/>
    <d v="2016-10-11T00:00:00"/>
    <x v="8"/>
    <x v="68"/>
    <x v="4"/>
    <x v="46"/>
    <x v="2"/>
    <x v="0"/>
  </r>
  <r>
    <x v="75"/>
    <s v="Jane"/>
    <s v="Gonzalez"/>
    <s v="Jane Gonzalez"/>
    <s v="FIN03"/>
    <x v="2"/>
    <d v="2019-04-20T00:00:00"/>
    <x v="49"/>
    <x v="69"/>
    <x v="59"/>
    <x v="25"/>
    <x v="1"/>
    <x v="1"/>
  </r>
  <r>
    <x v="76"/>
    <s v="Jane"/>
    <s v="Rodriguez"/>
    <s v="Jane Rodriguez"/>
    <s v="IT02"/>
    <x v="0"/>
    <d v="2017-02-19T00:00:00"/>
    <x v="39"/>
    <x v="70"/>
    <x v="60"/>
    <x v="41"/>
    <x v="0"/>
    <x v="0"/>
  </r>
  <r>
    <x v="77"/>
    <s v="Emily"/>
    <s v="Miller"/>
    <s v="Emily Miller"/>
    <s v="SAL05"/>
    <x v="4"/>
    <d v="2021-09-07T00:00:00"/>
    <x v="53"/>
    <x v="71"/>
    <x v="61"/>
    <x v="1"/>
    <x v="1"/>
    <x v="1"/>
  </r>
  <r>
    <x v="78"/>
    <s v="Sarah"/>
    <s v="Miller"/>
    <s v="Sarah Miller"/>
    <s v="MKT04"/>
    <x v="1"/>
    <d v="2019-05-14T00:00:00"/>
    <x v="49"/>
    <x v="72"/>
    <x v="62"/>
    <x v="47"/>
    <x v="3"/>
    <x v="0"/>
  </r>
  <r>
    <x v="79"/>
    <s v="Jessica"/>
    <s v="Garcia"/>
    <s v="Jessica Garcia"/>
    <s v="OPS06"/>
    <x v="3"/>
    <d v="2015-11-22T00:00:00"/>
    <x v="14"/>
    <x v="73"/>
    <x v="63"/>
    <x v="24"/>
    <x v="1"/>
    <x v="0"/>
  </r>
  <r>
    <x v="80"/>
    <s v="Richard"/>
    <s v="Smith"/>
    <s v="Richard Smith"/>
    <s v="HR01"/>
    <x v="5"/>
    <d v="2018-09-29T00:00:00"/>
    <x v="54"/>
    <x v="74"/>
    <x v="64"/>
    <x v="14"/>
    <x v="1"/>
    <x v="0"/>
  </r>
  <r>
    <x v="81"/>
    <s v="Melissa"/>
    <s v="Wilson"/>
    <s v="Melissa Wilson"/>
    <s v="IT02"/>
    <x v="0"/>
    <d v="2023-09-02T00:00:00"/>
    <x v="26"/>
    <x v="75"/>
    <x v="65"/>
    <x v="48"/>
    <x v="1"/>
    <x v="2"/>
  </r>
  <r>
    <x v="82"/>
    <s v="Thomas"/>
    <s v="Williams"/>
    <s v="Thomas Williams"/>
    <s v="FIN03"/>
    <x v="2"/>
    <d v="2022-07-17T00:00:00"/>
    <x v="22"/>
    <x v="76"/>
    <x v="66"/>
    <x v="41"/>
    <x v="0"/>
    <x v="0"/>
  </r>
  <r>
    <x v="83"/>
    <s v="David"/>
    <s v="Williams"/>
    <s v="David Williams"/>
    <s v="FIN03"/>
    <x v="2"/>
    <d v="2021-02-07T00:00:00"/>
    <x v="55"/>
    <x v="37"/>
    <x v="67"/>
    <x v="22"/>
    <x v="0"/>
    <x v="0"/>
  </r>
  <r>
    <x v="84"/>
    <s v="John"/>
    <s v="Johnson"/>
    <s v="John Johnson"/>
    <s v="IT02"/>
    <x v="0"/>
    <d v="2023-10-04T00:00:00"/>
    <x v="26"/>
    <x v="77"/>
    <x v="68"/>
    <x v="3"/>
    <x v="1"/>
    <x v="0"/>
  </r>
  <r>
    <x v="85"/>
    <s v="Richard"/>
    <s v="Gonzalez"/>
    <s v="Richard Gonzalez"/>
    <s v="IT02"/>
    <x v="0"/>
    <d v="2020-08-30T00:00:00"/>
    <x v="56"/>
    <x v="78"/>
    <x v="69"/>
    <x v="27"/>
    <x v="4"/>
    <x v="0"/>
  </r>
  <r>
    <x v="86"/>
    <s v="Melissa"/>
    <s v="Anderson"/>
    <s v="Melissa Anderson"/>
    <s v="OPS06"/>
    <x v="3"/>
    <d v="2021-08-14T00:00:00"/>
    <x v="38"/>
    <x v="79"/>
    <x v="4"/>
    <x v="46"/>
    <x v="2"/>
    <x v="0"/>
  </r>
  <r>
    <x v="87"/>
    <s v="Emily"/>
    <s v="Gonzalez"/>
    <s v="Emily Gonzalez"/>
    <s v="HR01"/>
    <x v="5"/>
    <d v="2019-11-27T00:00:00"/>
    <x v="57"/>
    <x v="80"/>
    <x v="70"/>
    <x v="13"/>
    <x v="3"/>
    <x v="0"/>
  </r>
  <r>
    <x v="88"/>
    <s v="Jane"/>
    <s v="Davis"/>
    <s v="Jane Davis"/>
    <s v="IT02"/>
    <x v="0"/>
    <d v="2017-05-25T00:00:00"/>
    <x v="15"/>
    <x v="81"/>
    <x v="4"/>
    <x v="10"/>
    <x v="2"/>
    <x v="0"/>
  </r>
  <r>
    <x v="89"/>
    <s v="William"/>
    <s v="Gonzalez"/>
    <s v="William Gonzalez"/>
    <s v="OPS06"/>
    <x v="3"/>
    <d v="2018-12-02T00:00:00"/>
    <x v="58"/>
    <x v="54"/>
    <x v="71"/>
    <x v="20"/>
    <x v="3"/>
    <x v="0"/>
  </r>
  <r>
    <x v="90"/>
    <s v="Thomas"/>
    <s v="Jones"/>
    <s v="Thomas Jones"/>
    <s v="FIN03"/>
    <x v="2"/>
    <d v="2019-06-23T00:00:00"/>
    <x v="37"/>
    <x v="82"/>
    <x v="72"/>
    <x v="49"/>
    <x v="0"/>
    <x v="1"/>
  </r>
  <r>
    <x v="91"/>
    <s v="Jessica"/>
    <s v="Anderson"/>
    <s v="Jessica Anderson"/>
    <s v="HR01"/>
    <x v="5"/>
    <d v="2015-10-27T00:00:00"/>
    <x v="59"/>
    <x v="83"/>
    <x v="73"/>
    <x v="7"/>
    <x v="1"/>
    <x v="0"/>
  </r>
  <r>
    <x v="92"/>
    <s v="Melissa"/>
    <s v="Johnson"/>
    <s v="Melissa Johnson"/>
    <s v="IT02"/>
    <x v="0"/>
    <d v="2018-06-19T00:00:00"/>
    <x v="16"/>
    <x v="84"/>
    <x v="74"/>
    <x v="21"/>
    <x v="0"/>
    <x v="0"/>
  </r>
  <r>
    <x v="93"/>
    <s v="Thomas"/>
    <s v="Miller"/>
    <s v="Thomas Miller"/>
    <s v="OPS06"/>
    <x v="3"/>
    <d v="2018-01-12T00:00:00"/>
    <x v="0"/>
    <x v="85"/>
    <x v="75"/>
    <x v="31"/>
    <x v="1"/>
    <x v="1"/>
  </r>
  <r>
    <x v="94"/>
    <s v="William"/>
    <s v="Gonzalez"/>
    <s v="William Gonzalez"/>
    <s v="SAL05"/>
    <x v="4"/>
    <d v="2015-01-04T00:00:00"/>
    <x v="60"/>
    <x v="86"/>
    <x v="76"/>
    <x v="41"/>
    <x v="0"/>
    <x v="0"/>
  </r>
  <r>
    <x v="95"/>
    <s v="Unknown"/>
    <s v="Smith"/>
    <s v="Unknown Smith"/>
    <s v="SAL05"/>
    <x v="4"/>
    <d v="2018-12-05T00:00:00"/>
    <x v="58"/>
    <x v="87"/>
    <x v="77"/>
    <x v="8"/>
    <x v="0"/>
    <x v="0"/>
  </r>
  <r>
    <x v="96"/>
    <s v="John"/>
    <s v="Johnson"/>
    <s v="John Johnson"/>
    <s v="IT02"/>
    <x v="0"/>
    <d v="2021-10-13T00:00:00"/>
    <x v="61"/>
    <x v="88"/>
    <x v="78"/>
    <x v="50"/>
    <x v="0"/>
    <x v="0"/>
  </r>
  <r>
    <x v="97"/>
    <s v="Jane"/>
    <s v="Johnson"/>
    <s v="Jane Johnson"/>
    <s v="SAL05"/>
    <x v="4"/>
    <d v="2020-09-07T00:00:00"/>
    <x v="45"/>
    <x v="89"/>
    <x v="4"/>
    <x v="46"/>
    <x v="2"/>
    <x v="0"/>
  </r>
  <r>
    <x v="98"/>
    <s v="John"/>
    <s v="Jones"/>
    <s v="John Jones"/>
    <s v="IT02"/>
    <x v="0"/>
    <d v="2019-03-08T00:00:00"/>
    <x v="34"/>
    <x v="19"/>
    <x v="4"/>
    <x v="37"/>
    <x v="2"/>
    <x v="0"/>
  </r>
  <r>
    <x v="99"/>
    <s v="Jane"/>
    <s v="Lopez"/>
    <s v="Jane Lopez"/>
    <s v="MKT04"/>
    <x v="1"/>
    <d v="2015-03-11T00:00:00"/>
    <x v="62"/>
    <x v="90"/>
    <x v="79"/>
    <x v="31"/>
    <x v="1"/>
    <x v="1"/>
  </r>
  <r>
    <x v="100"/>
    <s v="Melissa"/>
    <s v="Gonzalez"/>
    <s v="Melissa Gonzalez"/>
    <s v="MKT04"/>
    <x v="1"/>
    <d v="2017-02-19T00:00:00"/>
    <x v="39"/>
    <x v="91"/>
    <x v="80"/>
    <x v="7"/>
    <x v="1"/>
    <x v="0"/>
  </r>
  <r>
    <x v="101"/>
    <s v="William"/>
    <s v="Davis"/>
    <s v="William Davis"/>
    <s v="IT02"/>
    <x v="0"/>
    <d v="2023-05-09T00:00:00"/>
    <x v="63"/>
    <x v="92"/>
    <x v="81"/>
    <x v="51"/>
    <x v="0"/>
    <x v="0"/>
  </r>
  <r>
    <x v="102"/>
    <s v="John"/>
    <s v="Smith"/>
    <s v="John Smith"/>
    <s v="OPS06"/>
    <x v="3"/>
    <d v="2018-01-22T00:00:00"/>
    <x v="0"/>
    <x v="93"/>
    <x v="82"/>
    <x v="8"/>
    <x v="0"/>
    <x v="0"/>
  </r>
  <r>
    <x v="103"/>
    <s v="James"/>
    <s v="Gonzalez"/>
    <s v="James Gonzalez"/>
    <s v="IT02"/>
    <x v="0"/>
    <d v="2020-02-18T00:00:00"/>
    <x v="64"/>
    <x v="94"/>
    <x v="83"/>
    <x v="27"/>
    <x v="4"/>
    <x v="0"/>
  </r>
  <r>
    <x v="104"/>
    <s v="Emily"/>
    <s v="Johnson"/>
    <s v="Emily Johnson"/>
    <s v="OPS06"/>
    <x v="3"/>
    <d v="2016-05-22T00:00:00"/>
    <x v="65"/>
    <x v="95"/>
    <x v="84"/>
    <x v="24"/>
    <x v="1"/>
    <x v="0"/>
  </r>
  <r>
    <x v="105"/>
    <s v="William"/>
    <s v="Williams"/>
    <s v="William Williams"/>
    <s v="MKT04"/>
    <x v="1"/>
    <d v="2021-06-02T00:00:00"/>
    <x v="10"/>
    <x v="96"/>
    <x v="4"/>
    <x v="4"/>
    <x v="2"/>
    <x v="1"/>
  </r>
  <r>
    <x v="106"/>
    <s v="James"/>
    <s v="Jones"/>
    <s v="James Jones"/>
    <s v="IT02"/>
    <x v="0"/>
    <d v="2021-07-17T00:00:00"/>
    <x v="50"/>
    <x v="97"/>
    <x v="85"/>
    <x v="16"/>
    <x v="3"/>
    <x v="0"/>
  </r>
  <r>
    <x v="107"/>
    <s v="Jessica"/>
    <s v="Gonzalez"/>
    <s v="Jessica Gonzalez"/>
    <s v="HR01"/>
    <x v="5"/>
    <d v="2016-11-13T00:00:00"/>
    <x v="66"/>
    <x v="98"/>
    <x v="86"/>
    <x v="11"/>
    <x v="1"/>
    <x v="0"/>
  </r>
  <r>
    <x v="108"/>
    <s v="Sarah"/>
    <s v="Miller"/>
    <s v="Sarah Miller"/>
    <s v="SAL05"/>
    <x v="4"/>
    <d v="2019-02-17T00:00:00"/>
    <x v="67"/>
    <x v="99"/>
    <x v="87"/>
    <x v="38"/>
    <x v="3"/>
    <x v="0"/>
  </r>
  <r>
    <x v="109"/>
    <s v="Jessica"/>
    <s v="Smith"/>
    <s v="Jessica Smith"/>
    <s v="SAL05"/>
    <x v="4"/>
    <d v="2016-09-12T00:00:00"/>
    <x v="36"/>
    <x v="100"/>
    <x v="4"/>
    <x v="43"/>
    <x v="2"/>
    <x v="0"/>
  </r>
  <r>
    <x v="110"/>
    <s v="Thomas"/>
    <s v="Jones"/>
    <s v="Thomas Jones"/>
    <s v="OPS06"/>
    <x v="3"/>
    <d v="2021-08-13T00:00:00"/>
    <x v="38"/>
    <x v="101"/>
    <x v="88"/>
    <x v="24"/>
    <x v="1"/>
    <x v="0"/>
  </r>
  <r>
    <x v="111"/>
    <s v="Amanda"/>
    <s v="Brown"/>
    <s v="Amanda Brown"/>
    <s v="MKT04"/>
    <x v="1"/>
    <d v="2020-06-14T00:00:00"/>
    <x v="11"/>
    <x v="102"/>
    <x v="89"/>
    <x v="42"/>
    <x v="3"/>
    <x v="0"/>
  </r>
  <r>
    <x v="112"/>
    <s v="Robert"/>
    <s v="Martinez"/>
    <s v="Robert Martinez"/>
    <s v="IT02"/>
    <x v="0"/>
    <d v="2022-07-05T00:00:00"/>
    <x v="22"/>
    <x v="103"/>
    <x v="90"/>
    <x v="28"/>
    <x v="1"/>
    <x v="0"/>
  </r>
  <r>
    <x v="113"/>
    <s v="Thomas"/>
    <s v="Miller"/>
    <s v="Thomas Miller"/>
    <s v="IT02"/>
    <x v="0"/>
    <d v="2016-07-10T00:00:00"/>
    <x v="17"/>
    <x v="104"/>
    <x v="91"/>
    <x v="52"/>
    <x v="1"/>
    <x v="0"/>
  </r>
  <r>
    <x v="114"/>
    <s v="David"/>
    <s v="Rodriguez"/>
    <s v="David Rodriguez"/>
    <s v="IT02"/>
    <x v="0"/>
    <d v="2022-04-23T00:00:00"/>
    <x v="1"/>
    <x v="105"/>
    <x v="92"/>
    <x v="7"/>
    <x v="1"/>
    <x v="0"/>
  </r>
  <r>
    <x v="115"/>
    <s v="Jane"/>
    <s v="Miller"/>
    <s v="Jane Miller"/>
    <s v="MKT04"/>
    <x v="1"/>
    <d v="2017-05-10T00:00:00"/>
    <x v="48"/>
    <x v="106"/>
    <x v="93"/>
    <x v="53"/>
    <x v="1"/>
    <x v="0"/>
  </r>
  <r>
    <x v="116"/>
    <s v="James"/>
    <s v="Rodriguez"/>
    <s v="James Rodriguez"/>
    <s v="OPS06"/>
    <x v="3"/>
    <d v="2020-05-20T00:00:00"/>
    <x v="11"/>
    <x v="107"/>
    <x v="4"/>
    <x v="54"/>
    <x v="2"/>
    <x v="2"/>
  </r>
  <r>
    <x v="117"/>
    <s v="Sarah"/>
    <s v="Rodriguez"/>
    <s v="Sarah Rodriguez"/>
    <s v="HR01"/>
    <x v="5"/>
    <d v="2023-04-20T00:00:00"/>
    <x v="63"/>
    <x v="108"/>
    <x v="94"/>
    <x v="11"/>
    <x v="1"/>
    <x v="0"/>
  </r>
  <r>
    <x v="118"/>
    <s v="Sarah"/>
    <s v="Wilson"/>
    <s v="Sarah Wilson"/>
    <s v="SAL05"/>
    <x v="4"/>
    <d v="2021-10-31T00:00:00"/>
    <x v="61"/>
    <x v="26"/>
    <x v="4"/>
    <x v="5"/>
    <x v="2"/>
    <x v="0"/>
  </r>
  <r>
    <x v="119"/>
    <s v="Melissa"/>
    <s v="Brown"/>
    <s v="Melissa Brown"/>
    <s v="IT02"/>
    <x v="0"/>
    <d v="2021-10-24T00:00:00"/>
    <x v="61"/>
    <x v="19"/>
    <x v="45"/>
    <x v="50"/>
    <x v="0"/>
    <x v="1"/>
  </r>
  <r>
    <x v="120"/>
    <s v="Robert"/>
    <s v="Williams"/>
    <s v="Robert Williams"/>
    <s v="SAL05"/>
    <x v="4"/>
    <d v="2017-08-09T00:00:00"/>
    <x v="68"/>
    <x v="26"/>
    <x v="58"/>
    <x v="30"/>
    <x v="1"/>
    <x v="0"/>
  </r>
  <r>
    <x v="121"/>
    <s v="Melissa"/>
    <s v="Rodriguez"/>
    <s v="Melissa Rodriguez"/>
    <s v="OPS06"/>
    <x v="3"/>
    <d v="2023-01-04T00:00:00"/>
    <x v="69"/>
    <x v="109"/>
    <x v="95"/>
    <x v="25"/>
    <x v="1"/>
    <x v="0"/>
  </r>
  <r>
    <x v="122"/>
    <s v="James"/>
    <s v="Johnson"/>
    <s v="James Johnson"/>
    <s v="HR01"/>
    <x v="5"/>
    <d v="2020-08-10T00:00:00"/>
    <x v="56"/>
    <x v="110"/>
    <x v="96"/>
    <x v="13"/>
    <x v="3"/>
    <x v="0"/>
  </r>
  <r>
    <x v="123"/>
    <s v="Michael"/>
    <s v="Wilson"/>
    <s v="Michael Wilson"/>
    <s v="MKT04"/>
    <x v="1"/>
    <d v="2022-04-02T00:00:00"/>
    <x v="70"/>
    <x v="111"/>
    <x v="97"/>
    <x v="22"/>
    <x v="0"/>
    <x v="0"/>
  </r>
  <r>
    <x v="124"/>
    <s v="William"/>
    <s v="Jones"/>
    <s v="William Jones"/>
    <s v="MKT04"/>
    <x v="1"/>
    <d v="2018-03-24T00:00:00"/>
    <x v="33"/>
    <x v="112"/>
    <x v="4"/>
    <x v="12"/>
    <x v="2"/>
    <x v="0"/>
  </r>
  <r>
    <x v="125"/>
    <s v="William"/>
    <s v="Williams"/>
    <s v="William Williams"/>
    <s v="IT02"/>
    <x v="0"/>
    <d v="2018-07-24T00:00:00"/>
    <x v="51"/>
    <x v="113"/>
    <x v="4"/>
    <x v="46"/>
    <x v="2"/>
    <x v="0"/>
  </r>
  <r>
    <x v="126"/>
    <s v="David"/>
    <s v="Williams"/>
    <s v="David Williams"/>
    <s v="HR01"/>
    <x v="5"/>
    <d v="2018-07-20T00:00:00"/>
    <x v="51"/>
    <x v="114"/>
    <x v="4"/>
    <x v="55"/>
    <x v="2"/>
    <x v="0"/>
  </r>
  <r>
    <x v="127"/>
    <s v="Jane"/>
    <s v="Davis"/>
    <s v="Jane Davis"/>
    <s v="FIN03"/>
    <x v="2"/>
    <d v="2016-03-04T00:00:00"/>
    <x v="2"/>
    <x v="115"/>
    <x v="98"/>
    <x v="35"/>
    <x v="4"/>
    <x v="0"/>
  </r>
  <r>
    <x v="128"/>
    <s v="John"/>
    <s v="Martinez"/>
    <s v="John Martinez"/>
    <s v="HR01"/>
    <x v="5"/>
    <d v="2022-03-23T00:00:00"/>
    <x v="70"/>
    <x v="116"/>
    <x v="99"/>
    <x v="20"/>
    <x v="3"/>
    <x v="1"/>
  </r>
  <r>
    <x v="129"/>
    <s v="David"/>
    <s v="Anderson"/>
    <s v="David Anderson"/>
    <s v="HR01"/>
    <x v="5"/>
    <d v="2017-07-28T00:00:00"/>
    <x v="68"/>
    <x v="117"/>
    <x v="4"/>
    <x v="12"/>
    <x v="2"/>
    <x v="0"/>
  </r>
  <r>
    <x v="130"/>
    <s v="Sarah"/>
    <s v="Smith"/>
    <s v="Sarah Smith"/>
    <s v="SAL05"/>
    <x v="4"/>
    <d v="2023-05-11T00:00:00"/>
    <x v="63"/>
    <x v="118"/>
    <x v="100"/>
    <x v="16"/>
    <x v="3"/>
    <x v="2"/>
  </r>
  <r>
    <x v="131"/>
    <s v="Melissa"/>
    <s v="Hernandez"/>
    <s v="Melissa Hernandez"/>
    <s v="OPS06"/>
    <x v="3"/>
    <d v="2022-03-19T00:00:00"/>
    <x v="70"/>
    <x v="119"/>
    <x v="101"/>
    <x v="25"/>
    <x v="1"/>
    <x v="1"/>
  </r>
  <r>
    <x v="132"/>
    <s v="Melissa"/>
    <s v="Johnson"/>
    <s v="Melissa Johnson"/>
    <s v="FIN03"/>
    <x v="2"/>
    <d v="2017-12-22T00:00:00"/>
    <x v="0"/>
    <x v="120"/>
    <x v="102"/>
    <x v="50"/>
    <x v="0"/>
    <x v="0"/>
  </r>
  <r>
    <x v="133"/>
    <s v="Jane"/>
    <s v="Garcia"/>
    <s v="Jane Garcia"/>
    <s v="MKT04"/>
    <x v="1"/>
    <d v="2021-08-29T00:00:00"/>
    <x v="38"/>
    <x v="72"/>
    <x v="103"/>
    <x v="52"/>
    <x v="1"/>
    <x v="0"/>
  </r>
  <r>
    <x v="134"/>
    <s v="David"/>
    <s v="Davis"/>
    <s v="David Davis"/>
    <s v="IT02"/>
    <x v="0"/>
    <d v="2018-09-17T00:00:00"/>
    <x v="54"/>
    <x v="121"/>
    <x v="104"/>
    <x v="22"/>
    <x v="0"/>
    <x v="0"/>
  </r>
  <r>
    <x v="135"/>
    <s v="James"/>
    <s v="Wilson"/>
    <s v="James Wilson"/>
    <s v="SAL05"/>
    <x v="4"/>
    <d v="2021-06-28T00:00:00"/>
    <x v="50"/>
    <x v="26"/>
    <x v="22"/>
    <x v="0"/>
    <x v="0"/>
    <x v="0"/>
  </r>
  <r>
    <x v="136"/>
    <s v="Richard"/>
    <s v="Johnson"/>
    <s v="Richard Johnson"/>
    <s v="OPS06"/>
    <x v="3"/>
    <d v="2017-10-03T00:00:00"/>
    <x v="32"/>
    <x v="122"/>
    <x v="105"/>
    <x v="56"/>
    <x v="3"/>
    <x v="1"/>
  </r>
  <r>
    <x v="137"/>
    <s v="Richard"/>
    <s v="Williams"/>
    <s v="Richard Williams"/>
    <s v="FIN03"/>
    <x v="2"/>
    <d v="2015-10-22T00:00:00"/>
    <x v="59"/>
    <x v="37"/>
    <x v="67"/>
    <x v="9"/>
    <x v="0"/>
    <x v="0"/>
  </r>
  <r>
    <x v="138"/>
    <s v="John"/>
    <s v="Hernandez"/>
    <s v="John Hernandez"/>
    <s v="OPS06"/>
    <x v="3"/>
    <d v="2018-06-06T00:00:00"/>
    <x v="16"/>
    <x v="123"/>
    <x v="106"/>
    <x v="22"/>
    <x v="0"/>
    <x v="0"/>
  </r>
  <r>
    <x v="139"/>
    <s v="Sarah"/>
    <s v="Gonzalez"/>
    <s v="Sarah Gonzalez"/>
    <s v="OPS06"/>
    <x v="3"/>
    <d v="2017-07-16T00:00:00"/>
    <x v="29"/>
    <x v="124"/>
    <x v="107"/>
    <x v="27"/>
    <x v="4"/>
    <x v="0"/>
  </r>
  <r>
    <x v="140"/>
    <s v="Melissa"/>
    <s v="Hernandez"/>
    <s v="Melissa Hernandez"/>
    <s v="SAL05"/>
    <x v="4"/>
    <d v="2015-06-20T00:00:00"/>
    <x v="24"/>
    <x v="26"/>
    <x v="19"/>
    <x v="47"/>
    <x v="3"/>
    <x v="2"/>
  </r>
  <r>
    <x v="141"/>
    <s v="Melissa"/>
    <s v="Hernandez"/>
    <s v="Melissa Hernandez"/>
    <s v="OPS06"/>
    <x v="3"/>
    <d v="2019-05-24T00:00:00"/>
    <x v="27"/>
    <x v="125"/>
    <x v="108"/>
    <x v="49"/>
    <x v="0"/>
    <x v="2"/>
  </r>
  <r>
    <x v="142"/>
    <s v="John"/>
    <s v="Davis"/>
    <s v="John Davis"/>
    <s v="IT02"/>
    <x v="0"/>
    <d v="2020-02-26T00:00:00"/>
    <x v="64"/>
    <x v="19"/>
    <x v="109"/>
    <x v="34"/>
    <x v="4"/>
    <x v="0"/>
  </r>
  <r>
    <x v="143"/>
    <s v="Richard"/>
    <s v="Davis"/>
    <s v="Richard Davis"/>
    <s v="HR01"/>
    <x v="5"/>
    <d v="2023-03-06T00:00:00"/>
    <x v="71"/>
    <x v="126"/>
    <x v="110"/>
    <x v="0"/>
    <x v="0"/>
    <x v="1"/>
  </r>
  <r>
    <x v="144"/>
    <s v="Unknown"/>
    <s v="Jones"/>
    <s v="Unknown Jones"/>
    <s v="IT02"/>
    <x v="0"/>
    <d v="2019-01-12T00:00:00"/>
    <x v="41"/>
    <x v="127"/>
    <x v="111"/>
    <x v="19"/>
    <x v="0"/>
    <x v="0"/>
  </r>
  <r>
    <x v="145"/>
    <s v="William"/>
    <s v="Rodriguez"/>
    <s v="William Rodriguez"/>
    <s v="FIN03"/>
    <x v="2"/>
    <d v="2023-04-21T00:00:00"/>
    <x v="63"/>
    <x v="37"/>
    <x v="30"/>
    <x v="7"/>
    <x v="1"/>
    <x v="0"/>
  </r>
  <r>
    <x v="146"/>
    <s v="Melissa"/>
    <s v="Miller"/>
    <s v="Melissa Miller"/>
    <s v="SAL05"/>
    <x v="4"/>
    <d v="2016-05-29T00:00:00"/>
    <x v="65"/>
    <x v="128"/>
    <x v="4"/>
    <x v="26"/>
    <x v="2"/>
    <x v="0"/>
  </r>
  <r>
    <x v="147"/>
    <s v="Emily"/>
    <s v="Martinez"/>
    <s v="Emily Martinez"/>
    <s v="OPS06"/>
    <x v="3"/>
    <d v="2022-05-30T00:00:00"/>
    <x v="20"/>
    <x v="129"/>
    <x v="112"/>
    <x v="57"/>
    <x v="1"/>
    <x v="1"/>
  </r>
  <r>
    <x v="148"/>
    <s v="James"/>
    <s v="Rodriguez"/>
    <s v="James Rodriguez"/>
    <s v="MKT04"/>
    <x v="1"/>
    <d v="2016-11-03T00:00:00"/>
    <x v="8"/>
    <x v="130"/>
    <x v="113"/>
    <x v="1"/>
    <x v="1"/>
    <x v="0"/>
  </r>
  <r>
    <x v="149"/>
    <s v="Amanda"/>
    <s v="Brown"/>
    <s v="Amanda Brown"/>
    <s v="IT02"/>
    <x v="0"/>
    <d v="2022-10-14T00:00:00"/>
    <x v="72"/>
    <x v="131"/>
    <x v="114"/>
    <x v="38"/>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489E74-E864-4A5C-BC72-6C476881BA3B}"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27:S35" firstHeaderRow="1" firstDataRow="2" firstDataCol="1"/>
  <pivotFields count="13">
    <pivotField dataField="1"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axis="axisRow"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axis="axisCol" showAll="0">
      <items count="4">
        <item h="1" x="0"/>
        <item x="1"/>
        <item x="2"/>
        <item t="default"/>
      </items>
    </pivotField>
  </pivotFields>
  <rowFields count="1">
    <field x="5"/>
  </rowFields>
  <rowItems count="7">
    <i>
      <x/>
    </i>
    <i>
      <x v="1"/>
    </i>
    <i>
      <x v="2"/>
    </i>
    <i>
      <x v="3"/>
    </i>
    <i>
      <x v="4"/>
    </i>
    <i>
      <x v="5"/>
    </i>
    <i t="grand">
      <x/>
    </i>
  </rowItems>
  <colFields count="1">
    <field x="12"/>
  </colFields>
  <colItems count="3">
    <i>
      <x v="1"/>
    </i>
    <i>
      <x v="2"/>
    </i>
    <i t="grand">
      <x/>
    </i>
  </colItems>
  <dataFields count="1">
    <dataField name="Count of Emp ID" fld="0" subtotal="count" baseField="0" baseItem="0"/>
  </dataFields>
  <chartFormats count="12">
    <chartFormat chart="0" format="0" series="1">
      <pivotArea type="data" outline="0" fieldPosition="0">
        <references count="2">
          <reference field="4294967294" count="1" selected="0">
            <x v="0"/>
          </reference>
          <reference field="12" count="1" selected="0">
            <x v="1"/>
          </reference>
        </references>
      </pivotArea>
    </chartFormat>
    <chartFormat chart="0" format="1" series="1">
      <pivotArea type="data" outline="0" fieldPosition="0">
        <references count="2">
          <reference field="4294967294" count="1" selected="0">
            <x v="0"/>
          </reference>
          <reference field="12" count="1" selected="0">
            <x v="2"/>
          </reference>
        </references>
      </pivotArea>
    </chartFormat>
    <chartFormat chart="2" format="0" series="1">
      <pivotArea type="data" outline="0" fieldPosition="0">
        <references count="2">
          <reference field="4294967294" count="1" selected="0">
            <x v="0"/>
          </reference>
          <reference field="12" count="1" selected="0">
            <x v="1"/>
          </reference>
        </references>
      </pivotArea>
    </chartFormat>
    <chartFormat chart="2" format="1" series="1">
      <pivotArea type="data" outline="0" fieldPosition="0">
        <references count="2">
          <reference field="4294967294" count="1" selected="0">
            <x v="0"/>
          </reference>
          <reference field="12" count="1" selected="0">
            <x v="2"/>
          </reference>
        </references>
      </pivotArea>
    </chartFormat>
    <chartFormat chart="4" format="2" series="1">
      <pivotArea type="data" outline="0" fieldPosition="0">
        <references count="2">
          <reference field="4294967294" count="1" selected="0">
            <x v="0"/>
          </reference>
          <reference field="12" count="1" selected="0">
            <x v="1"/>
          </reference>
        </references>
      </pivotArea>
    </chartFormat>
    <chartFormat chart="4" format="3" series="1">
      <pivotArea type="data" outline="0" fieldPosition="0">
        <references count="2">
          <reference field="4294967294" count="1" selected="0">
            <x v="0"/>
          </reference>
          <reference field="12" count="1" selected="0">
            <x v="2"/>
          </reference>
        </references>
      </pivotArea>
    </chartFormat>
    <chartFormat chart="5" format="4" series="1">
      <pivotArea type="data" outline="0" fieldPosition="0">
        <references count="2">
          <reference field="4294967294" count="1" selected="0">
            <x v="0"/>
          </reference>
          <reference field="12" count="1" selected="0">
            <x v="1"/>
          </reference>
        </references>
      </pivotArea>
    </chartFormat>
    <chartFormat chart="5" format="5" series="1">
      <pivotArea type="data" outline="0" fieldPosition="0">
        <references count="2">
          <reference field="4294967294" count="1" selected="0">
            <x v="0"/>
          </reference>
          <reference field="12" count="1" selected="0">
            <x v="2"/>
          </reference>
        </references>
      </pivotArea>
    </chartFormat>
    <chartFormat chart="7" format="8" series="1">
      <pivotArea type="data" outline="0" fieldPosition="0">
        <references count="2">
          <reference field="4294967294" count="1" selected="0">
            <x v="0"/>
          </reference>
          <reference field="12" count="1" selected="0">
            <x v="1"/>
          </reference>
        </references>
      </pivotArea>
    </chartFormat>
    <chartFormat chart="7" format="9" series="1">
      <pivotArea type="data" outline="0" fieldPosition="0">
        <references count="2">
          <reference field="4294967294" count="1" selected="0">
            <x v="0"/>
          </reference>
          <reference field="12" count="1" selected="0">
            <x v="2"/>
          </reference>
        </references>
      </pivotArea>
    </chartFormat>
    <chartFormat chart="7" format="1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D4669D-21DA-42C9-A28C-AD32E56CE8D0}"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4:G48" firstHeaderRow="1" firstDataRow="1" firstDataCol="1"/>
  <pivotFields count="13">
    <pivotField dataField="1"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axis="axisRow" showAll="0">
      <items count="4">
        <item x="0"/>
        <item x="1"/>
        <item x="2"/>
        <item t="default"/>
      </items>
    </pivotField>
  </pivotFields>
  <rowFields count="1">
    <field x="12"/>
  </rowFields>
  <rowItems count="4">
    <i>
      <x/>
    </i>
    <i>
      <x v="1"/>
    </i>
    <i>
      <x v="2"/>
    </i>
    <i t="grand">
      <x/>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3BA88B-D73B-46EC-9D8F-E4EF5C3A55D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3">
    <pivotField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dataField="1"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showAll="0"/>
  </pivotFields>
  <rowItems count="1">
    <i/>
  </rowItems>
  <colItems count="1">
    <i/>
  </colItems>
  <dataFields count="1">
    <dataField name="Sum of Eligible Bonus" fld="9" baseField="0" baseItem="0" numFmtId="2"/>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5909D9-E871-48ED-B86F-C2363A64561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38:R45" firstHeaderRow="0" firstDataRow="1" firstDataCol="1"/>
  <pivotFields count="13">
    <pivotField dataField="1"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axis="axisRow"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dataField="1"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items count="6">
        <item h="1" x="1"/>
        <item x="0"/>
        <item x="3"/>
        <item h="1" x="2"/>
        <item h="1" x="4"/>
        <item t="default"/>
      </items>
    </pivotField>
    <pivotField showAll="0">
      <items count="4">
        <item x="0"/>
        <item x="1"/>
        <item x="2"/>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Salary" fld="8" baseField="0" baseItem="0"/>
    <dataField name="Count of Emp I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1E47BC-663F-4F9B-B68E-A8E8E2EFC60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27:K33" firstHeaderRow="1" firstDataRow="1" firstDataCol="1"/>
  <pivotFields count="13">
    <pivotField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dataField="1"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axis="axisRow" showAll="0">
      <items count="6">
        <item x="1"/>
        <item x="0"/>
        <item x="3"/>
        <item x="2"/>
        <item x="4"/>
        <item t="default"/>
      </items>
    </pivotField>
    <pivotField showAll="0">
      <items count="4">
        <item x="0"/>
        <item x="1"/>
        <item x="2"/>
        <item t="default"/>
      </items>
    </pivotField>
  </pivotFields>
  <rowFields count="1">
    <field x="11"/>
  </rowFields>
  <rowItems count="6">
    <i>
      <x/>
    </i>
    <i>
      <x v="1"/>
    </i>
    <i>
      <x v="2"/>
    </i>
    <i>
      <x v="3"/>
    </i>
    <i>
      <x v="4"/>
    </i>
    <i t="grand">
      <x/>
    </i>
  </rowItems>
  <colItems count="1">
    <i/>
  </colItems>
  <dataFields count="1">
    <dataField name="Sum of Eligible Bonus" fld="9"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1" count="1" selected="0">
            <x v="2"/>
          </reference>
        </references>
      </pivotArea>
    </chartFormat>
    <chartFormat chart="7" format="6">
      <pivotArea type="data" outline="0" fieldPosition="0">
        <references count="2">
          <reference field="4294967294" count="1" selected="0">
            <x v="0"/>
          </reference>
          <reference field="11" count="1" selected="0">
            <x v="3"/>
          </reference>
        </references>
      </pivotArea>
    </chartFormat>
    <chartFormat chart="7" format="7">
      <pivotArea type="data" outline="0" fieldPosition="0">
        <references count="2">
          <reference field="4294967294" count="1" selected="0">
            <x v="0"/>
          </reference>
          <reference field="11" count="1" selected="0">
            <x v="4"/>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B444BB-752F-453C-BE29-827FC687F04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7:N34" firstHeaderRow="1" firstDataRow="1" firstDataCol="1"/>
  <pivotFields count="13">
    <pivotField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axis="axisRow"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dataField="1"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items count="6">
        <item x="1"/>
        <item x="0"/>
        <item x="3"/>
        <item x="2"/>
        <item x="4"/>
        <item t="default"/>
      </items>
    </pivotField>
    <pivotField showAll="0">
      <items count="4">
        <item x="0"/>
        <item x="1"/>
        <item x="2"/>
        <item t="default"/>
      </items>
    </pivotField>
  </pivotFields>
  <rowFields count="1">
    <field x="5"/>
  </rowFields>
  <rowItems count="7">
    <i>
      <x/>
    </i>
    <i>
      <x v="1"/>
    </i>
    <i>
      <x v="2"/>
    </i>
    <i>
      <x v="3"/>
    </i>
    <i>
      <x v="4"/>
    </i>
    <i>
      <x v="5"/>
    </i>
    <i t="grand">
      <x/>
    </i>
  </rowItems>
  <colItems count="1">
    <i/>
  </colItems>
  <dataFields count="1">
    <dataField name="Sum of Eligible Bonus" fld="9"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9074E9-7C35-4D4F-A242-4570F8971C6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8:F14" firstHeaderRow="1" firstDataRow="1" firstDataCol="1"/>
  <pivotFields count="13">
    <pivotField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dataField="1"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axis="axisRow" showAll="0">
      <items count="6">
        <item x="1"/>
        <item x="0"/>
        <item x="3"/>
        <item x="2"/>
        <item x="4"/>
        <item t="default"/>
      </items>
    </pivotField>
    <pivotField showAll="0"/>
  </pivotFields>
  <rowFields count="1">
    <field x="11"/>
  </rowFields>
  <rowItems count="6">
    <i>
      <x/>
    </i>
    <i>
      <x v="1"/>
    </i>
    <i>
      <x v="2"/>
    </i>
    <i>
      <x v="3"/>
    </i>
    <i>
      <x v="4"/>
    </i>
    <i t="grand">
      <x/>
    </i>
  </rowItems>
  <colItems count="1">
    <i/>
  </colItems>
  <dataFields count="1">
    <dataField name="Sum of Salary" fld="8"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54722F-509D-4AFD-9A83-739CD2FFD9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3">
    <pivotField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dataField="1"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showAll="0"/>
  </pivotFields>
  <rowItems count="1">
    <i/>
  </rowItems>
  <colItems count="1">
    <i/>
  </colItems>
  <dataFields count="1">
    <dataField name="Sum of Salar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78E9B4-DF3E-4864-8E53-A963624561F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6:H42" firstHeaderRow="1" firstDataRow="1" firstDataCol="1"/>
  <pivotFields count="13">
    <pivotField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dataField="1"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axis="axisRow" showAll="0">
      <items count="6">
        <item x="1"/>
        <item x="0"/>
        <item x="3"/>
        <item x="2"/>
        <item x="4"/>
        <item t="default"/>
      </items>
    </pivotField>
    <pivotField showAll="0"/>
  </pivotFields>
  <rowFields count="1">
    <field x="11"/>
  </rowFields>
  <rowItems count="6">
    <i>
      <x/>
    </i>
    <i>
      <x v="1"/>
    </i>
    <i>
      <x v="2"/>
    </i>
    <i>
      <x v="3"/>
    </i>
    <i>
      <x v="4"/>
    </i>
    <i t="grand">
      <x/>
    </i>
  </rowItems>
  <colItems count="1">
    <i/>
  </colItems>
  <dataFields count="1">
    <dataField name="Sum of Salary" fld="8"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ED5922-0EC6-4A4D-9D77-B1E6B707C6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8:I12" firstHeaderRow="1" firstDataRow="1" firstDataCol="1"/>
  <pivotFields count="13">
    <pivotField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dataField="1"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axis="axisRow" showAll="0">
      <items count="4">
        <item x="0"/>
        <item x="1"/>
        <item x="2"/>
        <item t="default"/>
      </items>
    </pivotField>
  </pivotFields>
  <rowFields count="1">
    <field x="12"/>
  </rowFields>
  <rowItems count="4">
    <i>
      <x/>
    </i>
    <i>
      <x v="1"/>
    </i>
    <i>
      <x v="2"/>
    </i>
    <i t="grand">
      <x/>
    </i>
  </rowItems>
  <colItems count="1">
    <i/>
  </colItems>
  <dataFields count="1">
    <dataField name="Sum of Salary" fld="8"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2" count="1" selected="0">
            <x v="0"/>
          </reference>
        </references>
      </pivotArea>
    </chartFormat>
    <chartFormat chart="7" format="15">
      <pivotArea type="data" outline="0" fieldPosition="0">
        <references count="2">
          <reference field="4294967294" count="1" selected="0">
            <x v="0"/>
          </reference>
          <reference field="12" count="1" selected="0">
            <x v="1"/>
          </reference>
        </references>
      </pivotArea>
    </chartFormat>
    <chartFormat chart="7" format="1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D8BF4B-EDB1-435F-9651-0EC7195D7D4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N12" firstHeaderRow="0" firstDataRow="1" firstDataCol="1"/>
  <pivotFields count="13">
    <pivotField dataField="1"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dataField="1"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axis="axisRow" showAll="0">
      <items count="4">
        <item x="0"/>
        <item x="1"/>
        <item x="2"/>
        <item t="default"/>
      </items>
    </pivotField>
  </pivotFields>
  <rowFields count="1">
    <field x="12"/>
  </rowFields>
  <rowItems count="4">
    <i>
      <x/>
    </i>
    <i>
      <x v="1"/>
    </i>
    <i>
      <x v="2"/>
    </i>
    <i t="grand">
      <x/>
    </i>
  </rowItems>
  <colFields count="1">
    <field x="-2"/>
  </colFields>
  <colItems count="2">
    <i>
      <x/>
    </i>
    <i i="1">
      <x v="1"/>
    </i>
  </colItems>
  <dataFields count="2">
    <dataField name="Count of Emp ID" fld="0" subtotal="count" baseField="0" baseItem="0"/>
    <dataField name="Average of Perf_Score" fld="10" subtotal="average" baseField="12" baseItem="0" numFmtId="2"/>
  </dataFields>
  <formats count="1">
    <format dxfId="9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E0F69A-AB1C-46A6-8CA2-B302A9790E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3">
    <pivotField dataField="1"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showAll="0"/>
  </pivotFields>
  <rowItems count="1">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7A54CBF-38DD-4A96-ACBC-A3DC3B5C3C3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8:M42" firstHeaderRow="1" firstDataRow="1" firstDataCol="1"/>
  <pivotFields count="13">
    <pivotField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dataField="1"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axis="axisRow" showAll="0">
      <items count="4">
        <item x="0"/>
        <item x="1"/>
        <item x="2"/>
        <item t="default"/>
      </items>
    </pivotField>
  </pivotFields>
  <rowFields count="1">
    <field x="12"/>
  </rowFields>
  <rowItems count="4">
    <i>
      <x/>
    </i>
    <i>
      <x v="1"/>
    </i>
    <i>
      <x v="2"/>
    </i>
    <i t="grand">
      <x/>
    </i>
  </rowItems>
  <colItems count="1">
    <i/>
  </colItems>
  <dataFields count="1">
    <dataField name="Count of Perf_Score" fld="1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75E514-C91A-4575-B99A-69FE7E843E1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B15" firstHeaderRow="1" firstDataRow="1" firstDataCol="1"/>
  <pivotFields count="13">
    <pivotField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axis="axisRow"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dataField="1"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showAll="0"/>
  </pivotFields>
  <rowFields count="1">
    <field x="5"/>
  </rowFields>
  <rowItems count="7">
    <i>
      <x/>
    </i>
    <i>
      <x v="1"/>
    </i>
    <i>
      <x v="2"/>
    </i>
    <i>
      <x v="3"/>
    </i>
    <i>
      <x v="4"/>
    </i>
    <i>
      <x v="5"/>
    </i>
    <i t="grand">
      <x/>
    </i>
  </rowItems>
  <colItems count="1">
    <i/>
  </colItems>
  <dataFields count="1">
    <dataField name="Sum of Salary" fld="8"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621E217-F0F3-40D3-8234-4DF060FB7A9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5:S9" firstHeaderRow="1" firstDataRow="1" firstDataCol="1"/>
  <pivotFields count="13">
    <pivotField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dataField="1"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axis="axisRow" showAll="0">
      <items count="4">
        <item x="0"/>
        <item x="1"/>
        <item x="2"/>
        <item t="default"/>
      </items>
    </pivotField>
  </pivotFields>
  <rowFields count="1">
    <field x="12"/>
  </rowFields>
  <rowItems count="4">
    <i>
      <x/>
    </i>
    <i>
      <x v="1"/>
    </i>
    <i>
      <x v="2"/>
    </i>
    <i t="grand">
      <x/>
    </i>
  </rowItems>
  <colItems count="1">
    <i/>
  </colItems>
  <dataFields count="1">
    <dataField name="Average of Perf_Score" fld="10" subtotal="average" baseField="12"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09D196E-1DDD-4655-84F3-DB9EB5A6189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8:B20" firstHeaderRow="1" firstDataRow="1" firstDataCol="1"/>
  <pivotFields count="13">
    <pivotField axis="axisRow" showAll="0" sortType="descending">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dataField="1"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showAll="0"/>
  </pivotFields>
  <rowFields count="1">
    <field x="0"/>
  </rowFields>
  <rowItems count="2">
    <i>
      <x v="10"/>
    </i>
    <i t="grand">
      <x/>
    </i>
  </rowItems>
  <colItems count="1">
    <i/>
  </colItems>
  <dataFields count="1">
    <dataField name="Sum of Salary" fld="8"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8654561-8DD3-4EA5-8C61-74A86ADC088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9:D30" firstHeaderRow="1" firstDataRow="1" firstDataCol="0"/>
  <pivotFields count="13">
    <pivotField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dataField="1"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showAll="0"/>
  </pivotFields>
  <rowItems count="1">
    <i/>
  </rowItems>
  <colItems count="1">
    <i/>
  </colItems>
  <dataFields count="1">
    <dataField name="Average of Salary" fld="8" subtotal="average" baseField="0" baseItem="0" numFmtId="166"/>
  </dataFields>
  <formats count="1">
    <format dxfId="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2E07F3E-6457-4502-A040-B90B7005A2B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3">
    <pivotField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dataField="1"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showAll="0"/>
    <pivotField showAll="0"/>
  </pivotFields>
  <rowItems count="1">
    <i/>
  </rowItems>
  <colItems count="1">
    <i/>
  </colItems>
  <dataFields count="1">
    <dataField name="Average of Year of Servic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748A445-ABE9-4855-80C7-6D4FF19E385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O18:Q24" firstHeaderRow="0" firstDataRow="1" firstDataCol="1"/>
  <pivotFields count="13">
    <pivotField dataField="1" showAll="0">
      <items count="151">
        <item h="1" x="66"/>
        <item h="1" x="136"/>
        <item h="1" x="121"/>
        <item h="1" x="113"/>
        <item h="1" x="56"/>
        <item h="1" x="91"/>
        <item h="1" x="118"/>
        <item h="1" x="100"/>
        <item h="1" x="109"/>
        <item h="1" x="22"/>
        <item x="63"/>
        <item h="1" x="48"/>
        <item h="1" x="21"/>
        <item h="1" x="110"/>
        <item h="1" x="29"/>
        <item h="1" x="12"/>
        <item h="1" x="61"/>
        <item h="1" x="114"/>
        <item h="1" x="20"/>
        <item h="1" x="10"/>
        <item h="1" x="145"/>
        <item h="1" x="131"/>
        <item h="1" x="45"/>
        <item h="1" x="74"/>
        <item h="1" x="14"/>
        <item h="1" x="73"/>
        <item h="1" x="39"/>
        <item h="1" x="52"/>
        <item h="1" x="71"/>
        <item h="1" x="5"/>
        <item h="1" x="15"/>
        <item h="1" x="23"/>
        <item h="1" x="57"/>
        <item h="1" x="84"/>
        <item h="1" x="98"/>
        <item h="1" x="95"/>
        <item h="1" x="43"/>
        <item h="1" x="134"/>
        <item h="1" x="115"/>
        <item h="1" x="76"/>
        <item h="1" x="72"/>
        <item h="1" x="55"/>
        <item h="1" x="36"/>
        <item h="1" x="101"/>
        <item h="1" x="69"/>
        <item h="1" x="1"/>
        <item h="1" x="99"/>
        <item h="1" x="80"/>
        <item h="1" x="129"/>
        <item h="1" x="94"/>
        <item h="1" x="127"/>
        <item h="1" x="25"/>
        <item h="1" x="137"/>
        <item h="1" x="90"/>
        <item h="1" x="125"/>
        <item h="1" x="32"/>
        <item h="1" x="11"/>
        <item h="1" x="132"/>
        <item h="1" x="128"/>
        <item h="1" x="111"/>
        <item h="1" x="58"/>
        <item h="1" x="82"/>
        <item h="1" x="87"/>
        <item h="1" x="123"/>
        <item h="1" x="68"/>
        <item h="1" x="18"/>
        <item h="1" x="60"/>
        <item h="1" x="37"/>
        <item h="1" x="50"/>
        <item h="1" x="13"/>
        <item h="1" x="102"/>
        <item h="1" x="146"/>
        <item h="1" x="116"/>
        <item h="1" x="83"/>
        <item h="1" x="143"/>
        <item h="1" x="30"/>
        <item h="1" x="44"/>
        <item h="1" x="97"/>
        <item h="1" x="41"/>
        <item h="1" x="49"/>
        <item h="1" x="96"/>
        <item h="1" x="24"/>
        <item h="1" x="70"/>
        <item h="1" x="105"/>
        <item h="1" x="34"/>
        <item h="1" x="77"/>
        <item h="1" x="53"/>
        <item h="1" x="142"/>
        <item h="1" x="130"/>
        <item h="1" x="108"/>
        <item h="1" x="64"/>
        <item h="1" x="104"/>
        <item h="1" x="148"/>
        <item h="1" x="88"/>
        <item h="1" x="8"/>
        <item h="1" x="6"/>
        <item h="1" x="89"/>
        <item h="1" x="7"/>
        <item h="1" x="28"/>
        <item h="1" x="140"/>
        <item h="1" x="120"/>
        <item h="1" x="59"/>
        <item h="1" x="149"/>
        <item h="1" x="139"/>
        <item h="1" x="85"/>
        <item h="1" x="35"/>
        <item h="1" x="147"/>
        <item h="1" x="126"/>
        <item h="1" x="17"/>
        <item h="1" x="92"/>
        <item h="1" x="75"/>
        <item h="1" x="4"/>
        <item h="1" x="67"/>
        <item h="1" x="81"/>
        <item h="1" x="103"/>
        <item h="1" x="124"/>
        <item h="1" x="141"/>
        <item h="1" x="86"/>
        <item h="1" x="54"/>
        <item h="1" x="19"/>
        <item h="1" x="122"/>
        <item h="1" x="144"/>
        <item h="1" x="62"/>
        <item h="1" x="78"/>
        <item h="1" x="33"/>
        <item h="1" x="16"/>
        <item h="1" x="0"/>
        <item h="1" x="38"/>
        <item h="1" x="26"/>
        <item h="1" x="133"/>
        <item h="1" x="138"/>
        <item h="1" x="79"/>
        <item h="1" x="46"/>
        <item h="1" x="2"/>
        <item h="1" x="112"/>
        <item h="1" x="40"/>
        <item h="1" x="31"/>
        <item h="1" x="117"/>
        <item h="1" x="3"/>
        <item h="1" x="9"/>
        <item h="1" x="47"/>
        <item h="1" x="106"/>
        <item h="1" x="107"/>
        <item h="1" x="119"/>
        <item h="1" x="65"/>
        <item h="1" x="27"/>
        <item h="1" x="93"/>
        <item h="1" x="135"/>
        <item h="1" x="42"/>
        <item h="1" x="51"/>
        <item t="default"/>
      </items>
    </pivotField>
    <pivotField showAll="0"/>
    <pivotField showAll="0"/>
    <pivotField showAll="0"/>
    <pivotField showAll="0"/>
    <pivotField showAll="0">
      <items count="7">
        <item x="2"/>
        <item x="5"/>
        <item x="0"/>
        <item x="1"/>
        <item x="3"/>
        <item x="4"/>
        <item t="default"/>
      </items>
    </pivotField>
    <pivotField numFmtId="14" showAll="0"/>
    <pivotField numFmtId="1" showAll="0">
      <items count="74">
        <item x="6"/>
        <item x="44"/>
        <item x="26"/>
        <item x="13"/>
        <item x="3"/>
        <item x="63"/>
        <item x="71"/>
        <item x="4"/>
        <item x="69"/>
        <item x="72"/>
        <item x="19"/>
        <item x="30"/>
        <item x="22"/>
        <item x="20"/>
        <item x="1"/>
        <item x="70"/>
        <item x="40"/>
        <item x="28"/>
        <item x="61"/>
        <item x="53"/>
        <item x="38"/>
        <item x="50"/>
        <item x="10"/>
        <item x="55"/>
        <item x="42"/>
        <item x="7"/>
        <item x="45"/>
        <item x="56"/>
        <item x="11"/>
        <item x="31"/>
        <item x="5"/>
        <item x="64"/>
        <item x="12"/>
        <item x="57"/>
        <item x="21"/>
        <item x="35"/>
        <item x="37"/>
        <item x="27"/>
        <item x="49"/>
        <item x="34"/>
        <item x="67"/>
        <item x="41"/>
        <item x="58"/>
        <item x="54"/>
        <item x="51"/>
        <item x="16"/>
        <item x="23"/>
        <item x="33"/>
        <item x="43"/>
        <item x="0"/>
        <item x="18"/>
        <item x="32"/>
        <item x="68"/>
        <item x="29"/>
        <item x="15"/>
        <item x="48"/>
        <item x="46"/>
        <item x="39"/>
        <item x="66"/>
        <item x="8"/>
        <item x="36"/>
        <item x="17"/>
        <item x="65"/>
        <item x="2"/>
        <item x="9"/>
        <item x="14"/>
        <item x="59"/>
        <item x="52"/>
        <item x="25"/>
        <item x="24"/>
        <item x="47"/>
        <item x="62"/>
        <item x="60"/>
        <item t="default"/>
      </items>
    </pivotField>
    <pivotField numFmtId="165" showAll="0">
      <items count="133">
        <item x="69"/>
        <item x="115"/>
        <item x="79"/>
        <item x="74"/>
        <item x="129"/>
        <item x="106"/>
        <item x="68"/>
        <item x="56"/>
        <item x="92"/>
        <item x="0"/>
        <item x="122"/>
        <item x="27"/>
        <item x="62"/>
        <item x="64"/>
        <item x="77"/>
        <item x="40"/>
        <item x="123"/>
        <item x="94"/>
        <item x="66"/>
        <item x="51"/>
        <item x="83"/>
        <item x="38"/>
        <item x="32"/>
        <item x="6"/>
        <item x="109"/>
        <item x="12"/>
        <item x="121"/>
        <item x="128"/>
        <item x="113"/>
        <item x="59"/>
        <item x="124"/>
        <item x="67"/>
        <item x="15"/>
        <item x="30"/>
        <item x="41"/>
        <item x="96"/>
        <item x="85"/>
        <item x="110"/>
        <item x="24"/>
        <item x="54"/>
        <item x="7"/>
        <item x="36"/>
        <item x="71"/>
        <item x="88"/>
        <item x="4"/>
        <item x="18"/>
        <item x="104"/>
        <item x="48"/>
        <item x="60"/>
        <item x="19"/>
        <item x="11"/>
        <item x="81"/>
        <item x="26"/>
        <item x="98"/>
        <item x="105"/>
        <item x="43"/>
        <item x="87"/>
        <item x="52"/>
        <item x="14"/>
        <item x="95"/>
        <item x="25"/>
        <item x="42"/>
        <item x="78"/>
        <item x="91"/>
        <item x="72"/>
        <item x="47"/>
        <item x="75"/>
        <item x="82"/>
        <item x="114"/>
        <item x="28"/>
        <item x="37"/>
        <item x="65"/>
        <item x="80"/>
        <item x="39"/>
        <item x="70"/>
        <item x="73"/>
        <item x="120"/>
        <item x="84"/>
        <item x="111"/>
        <item x="93"/>
        <item x="31"/>
        <item x="55"/>
        <item x="97"/>
        <item x="45"/>
        <item x="130"/>
        <item x="49"/>
        <item x="22"/>
        <item x="9"/>
        <item x="89"/>
        <item x="99"/>
        <item x="29"/>
        <item x="76"/>
        <item x="46"/>
        <item x="13"/>
        <item x="23"/>
        <item x="90"/>
        <item x="107"/>
        <item x="8"/>
        <item x="34"/>
        <item x="17"/>
        <item x="3"/>
        <item x="61"/>
        <item x="44"/>
        <item x="16"/>
        <item x="126"/>
        <item x="21"/>
        <item x="112"/>
        <item x="125"/>
        <item x="119"/>
        <item x="101"/>
        <item x="57"/>
        <item x="118"/>
        <item x="63"/>
        <item x="35"/>
        <item x="116"/>
        <item x="1"/>
        <item x="102"/>
        <item x="127"/>
        <item x="33"/>
        <item x="2"/>
        <item x="100"/>
        <item x="58"/>
        <item x="108"/>
        <item x="86"/>
        <item x="50"/>
        <item x="117"/>
        <item x="5"/>
        <item x="103"/>
        <item x="20"/>
        <item x="131"/>
        <item x="10"/>
        <item x="53"/>
        <item t="default"/>
      </items>
    </pivotField>
    <pivotField dataField="1" numFmtId="165" showAll="0">
      <items count="116">
        <item x="4"/>
        <item x="48"/>
        <item x="81"/>
        <item x="0"/>
        <item x="33"/>
        <item x="106"/>
        <item x="104"/>
        <item x="78"/>
        <item x="51"/>
        <item x="45"/>
        <item x="8"/>
        <item x="22"/>
        <item x="36"/>
        <item x="77"/>
        <item x="18"/>
        <item x="72"/>
        <item x="21"/>
        <item x="67"/>
        <item x="60"/>
        <item x="102"/>
        <item x="74"/>
        <item x="97"/>
        <item x="82"/>
        <item x="25"/>
        <item x="41"/>
        <item x="16"/>
        <item x="7"/>
        <item x="66"/>
        <item x="9"/>
        <item x="17"/>
        <item x="27"/>
        <item x="110"/>
        <item x="108"/>
        <item x="54"/>
        <item x="111"/>
        <item x="59"/>
        <item x="2"/>
        <item x="76"/>
        <item x="42"/>
        <item x="14"/>
        <item x="64"/>
        <item x="112"/>
        <item x="93"/>
        <item x="68"/>
        <item x="43"/>
        <item x="73"/>
        <item x="31"/>
        <item x="26"/>
        <item x="5"/>
        <item x="95"/>
        <item x="11"/>
        <item x="24"/>
        <item x="75"/>
        <item x="46"/>
        <item x="61"/>
        <item x="91"/>
        <item x="40"/>
        <item x="13"/>
        <item x="58"/>
        <item x="86"/>
        <item x="92"/>
        <item x="10"/>
        <item x="105"/>
        <item x="84"/>
        <item x="20"/>
        <item x="35"/>
        <item x="55"/>
        <item x="80"/>
        <item x="103"/>
        <item x="65"/>
        <item x="30"/>
        <item x="32"/>
        <item x="63"/>
        <item x="56"/>
        <item x="38"/>
        <item x="113"/>
        <item x="23"/>
        <item x="39"/>
        <item x="50"/>
        <item x="79"/>
        <item x="6"/>
        <item x="3"/>
        <item x="52"/>
        <item x="37"/>
        <item x="34"/>
        <item x="101"/>
        <item x="96"/>
        <item x="88"/>
        <item x="71"/>
        <item x="29"/>
        <item x="98"/>
        <item x="1"/>
        <item x="94"/>
        <item x="90"/>
        <item x="12"/>
        <item x="53"/>
        <item x="19"/>
        <item x="83"/>
        <item x="62"/>
        <item x="70"/>
        <item x="85"/>
        <item x="87"/>
        <item x="107"/>
        <item x="57"/>
        <item x="15"/>
        <item x="49"/>
        <item x="100"/>
        <item x="99"/>
        <item x="89"/>
        <item x="109"/>
        <item x="114"/>
        <item x="69"/>
        <item x="47"/>
        <item x="28"/>
        <item x="44"/>
        <item t="default"/>
      </items>
    </pivotField>
    <pivotField showAll="0">
      <items count="59">
        <item x="26"/>
        <item x="18"/>
        <item x="37"/>
        <item x="46"/>
        <item x="55"/>
        <item x="43"/>
        <item x="54"/>
        <item x="4"/>
        <item x="12"/>
        <item x="6"/>
        <item x="39"/>
        <item x="10"/>
        <item x="5"/>
        <item x="15"/>
        <item x="51"/>
        <item x="0"/>
        <item x="32"/>
        <item x="2"/>
        <item x="29"/>
        <item x="49"/>
        <item x="8"/>
        <item x="19"/>
        <item x="41"/>
        <item x="9"/>
        <item x="33"/>
        <item x="17"/>
        <item x="36"/>
        <item x="21"/>
        <item x="45"/>
        <item x="22"/>
        <item x="50"/>
        <item x="3"/>
        <item x="28"/>
        <item x="24"/>
        <item x="57"/>
        <item x="1"/>
        <item x="14"/>
        <item x="30"/>
        <item x="11"/>
        <item x="25"/>
        <item x="7"/>
        <item x="23"/>
        <item x="48"/>
        <item x="52"/>
        <item x="53"/>
        <item x="31"/>
        <item x="42"/>
        <item x="16"/>
        <item x="20"/>
        <item x="38"/>
        <item x="56"/>
        <item x="13"/>
        <item x="47"/>
        <item x="35"/>
        <item x="34"/>
        <item x="44"/>
        <item x="27"/>
        <item x="40"/>
        <item t="default"/>
      </items>
    </pivotField>
    <pivotField axis="axisRow" showAll="0">
      <items count="6">
        <item x="1"/>
        <item x="0"/>
        <item x="3"/>
        <item x="2"/>
        <item x="4"/>
        <item t="default"/>
      </items>
    </pivotField>
    <pivotField showAll="0">
      <items count="4">
        <item x="0"/>
        <item x="1"/>
        <item x="2"/>
        <item t="default"/>
      </items>
    </pivotField>
  </pivotFields>
  <rowFields count="1">
    <field x="11"/>
  </rowFields>
  <rowItems count="6">
    <i>
      <x/>
    </i>
    <i>
      <x v="1"/>
    </i>
    <i>
      <x v="2"/>
    </i>
    <i>
      <x v="3"/>
    </i>
    <i>
      <x v="4"/>
    </i>
    <i t="grand">
      <x/>
    </i>
  </rowItems>
  <colFields count="1">
    <field x="-2"/>
  </colFields>
  <colItems count="2">
    <i>
      <x/>
    </i>
    <i i="1">
      <x v="1"/>
    </i>
  </colItems>
  <dataFields count="2">
    <dataField name="Count of Emp ID" fld="0" subtotal="count" baseField="0" baseItem="0"/>
    <dataField name="Sum of Eligible Bonus" fld="9"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75075FE6-2251-474C-94F2-1EE87344850C}" sourceName="Department Name">
  <pivotTables>
    <pivotTable tabId="5" name="PivotTable10"/>
    <pivotTable tabId="5" name="PivotTable1"/>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3"/>
    <pivotTable tabId="5" name="PivotTable4"/>
    <pivotTable tabId="5" name="PivotTable6"/>
    <pivotTable tabId="5" name="PivotTable7"/>
    <pivotTable tabId="5" name="PivotTable8"/>
    <pivotTable tabId="5" name="PivotTable9"/>
  </pivotTables>
  <data>
    <tabular pivotCacheId="356505201">
      <items count="6">
        <i x="2" s="1"/>
        <i x="5"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Service" xr10:uid="{6EFA7A44-5A32-4C9D-BA27-F3164E21042D}" sourceName="Year of Service">
  <pivotTables>
    <pivotTable tabId="5" name="PivotTable10"/>
    <pivotTable tabId="5" name="PivotTable1"/>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3"/>
    <pivotTable tabId="5" name="PivotTable4"/>
    <pivotTable tabId="5" name="PivotTable6"/>
    <pivotTable tabId="5" name="PivotTable7"/>
    <pivotTable tabId="5" name="PivotTable8"/>
    <pivotTable tabId="5" name="PivotTable9"/>
  </pivotTables>
  <data>
    <tabular pivotCacheId="356505201">
      <items count="73">
        <i x="6" s="1"/>
        <i x="44" s="1"/>
        <i x="26" s="1"/>
        <i x="13" s="1"/>
        <i x="3" s="1"/>
        <i x="63" s="1"/>
        <i x="71" s="1"/>
        <i x="4" s="1"/>
        <i x="69" s="1"/>
        <i x="72" s="1"/>
        <i x="19" s="1"/>
        <i x="30" s="1"/>
        <i x="22" s="1"/>
        <i x="20" s="1"/>
        <i x="1" s="1"/>
        <i x="70" s="1"/>
        <i x="40" s="1"/>
        <i x="28" s="1"/>
        <i x="61" s="1"/>
        <i x="53" s="1"/>
        <i x="38" s="1"/>
        <i x="50" s="1"/>
        <i x="10" s="1"/>
        <i x="55" s="1"/>
        <i x="42" s="1"/>
        <i x="7" s="1"/>
        <i x="45" s="1"/>
        <i x="56" s="1"/>
        <i x="11" s="1"/>
        <i x="31" s="1"/>
        <i x="5" s="1"/>
        <i x="64" s="1"/>
        <i x="12" s="1"/>
        <i x="57" s="1"/>
        <i x="21" s="1"/>
        <i x="35" s="1"/>
        <i x="37" s="1"/>
        <i x="27" s="1"/>
        <i x="49" s="1"/>
        <i x="34" s="1"/>
        <i x="67" s="1"/>
        <i x="41" s="1"/>
        <i x="58" s="1"/>
        <i x="54" s="1"/>
        <i x="51" s="1"/>
        <i x="16" s="1"/>
        <i x="23" s="1"/>
        <i x="33" s="1"/>
        <i x="43" s="1"/>
        <i x="0" s="1"/>
        <i x="18" s="1"/>
        <i x="32" s="1"/>
        <i x="68" s="1"/>
        <i x="29" s="1"/>
        <i x="15" s="1"/>
        <i x="48" s="1"/>
        <i x="46" s="1"/>
        <i x="39" s="1"/>
        <i x="66" s="1"/>
        <i x="8" s="1"/>
        <i x="36" s="1"/>
        <i x="17" s="1"/>
        <i x="65" s="1"/>
        <i x="2" s="1"/>
        <i x="9" s="1"/>
        <i x="14" s="1"/>
        <i x="59" s="1"/>
        <i x="52" s="1"/>
        <i x="25" s="1"/>
        <i x="24" s="1"/>
        <i x="47" s="1"/>
        <i x="62" s="1"/>
        <i x="6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61019D5F-73BA-4EE1-AAF9-37220D66204E}" sourceName="Salary">
  <pivotTables>
    <pivotTable tabId="5" name="PivotTable10"/>
    <pivotTable tabId="5" name="PivotTable1"/>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3"/>
    <pivotTable tabId="5" name="PivotTable4"/>
    <pivotTable tabId="5" name="PivotTable6"/>
    <pivotTable tabId="5" name="PivotTable7"/>
    <pivotTable tabId="5" name="PivotTable8"/>
    <pivotTable tabId="5" name="PivotTable9"/>
  </pivotTables>
  <data>
    <tabular pivotCacheId="356505201">
      <items count="132">
        <i x="69" s="1"/>
        <i x="115" s="1"/>
        <i x="79" s="1"/>
        <i x="74" s="1"/>
        <i x="129" s="1"/>
        <i x="106" s="1"/>
        <i x="68" s="1"/>
        <i x="56" s="1"/>
        <i x="92" s="1"/>
        <i x="0" s="1"/>
        <i x="122" s="1"/>
        <i x="27" s="1"/>
        <i x="62" s="1"/>
        <i x="64" s="1"/>
        <i x="77" s="1"/>
        <i x="40" s="1"/>
        <i x="123" s="1"/>
        <i x="94" s="1"/>
        <i x="66" s="1"/>
        <i x="51" s="1"/>
        <i x="83" s="1"/>
        <i x="38" s="1"/>
        <i x="32" s="1"/>
        <i x="6" s="1"/>
        <i x="109" s="1"/>
        <i x="12" s="1"/>
        <i x="121" s="1"/>
        <i x="128" s="1"/>
        <i x="113" s="1"/>
        <i x="59" s="1"/>
        <i x="124" s="1"/>
        <i x="67" s="1"/>
        <i x="15" s="1"/>
        <i x="30" s="1"/>
        <i x="41" s="1"/>
        <i x="96" s="1"/>
        <i x="85" s="1"/>
        <i x="110" s="1"/>
        <i x="24" s="1"/>
        <i x="54" s="1"/>
        <i x="7" s="1"/>
        <i x="36" s="1"/>
        <i x="71" s="1"/>
        <i x="88" s="1"/>
        <i x="4" s="1"/>
        <i x="18" s="1"/>
        <i x="104" s="1"/>
        <i x="48" s="1"/>
        <i x="60" s="1"/>
        <i x="19" s="1"/>
        <i x="11" s="1"/>
        <i x="81" s="1"/>
        <i x="26" s="1"/>
        <i x="98" s="1"/>
        <i x="105" s="1"/>
        <i x="43" s="1"/>
        <i x="87" s="1"/>
        <i x="52" s="1"/>
        <i x="14" s="1"/>
        <i x="95" s="1"/>
        <i x="25" s="1"/>
        <i x="42" s="1"/>
        <i x="78" s="1"/>
        <i x="91" s="1"/>
        <i x="72" s="1"/>
        <i x="47" s="1"/>
        <i x="75" s="1"/>
        <i x="82" s="1"/>
        <i x="114" s="1"/>
        <i x="28" s="1"/>
        <i x="37" s="1"/>
        <i x="65" s="1"/>
        <i x="80" s="1"/>
        <i x="39" s="1"/>
        <i x="70" s="1"/>
        <i x="73" s="1"/>
        <i x="120" s="1"/>
        <i x="84" s="1"/>
        <i x="111" s="1"/>
        <i x="93" s="1"/>
        <i x="31" s="1"/>
        <i x="55" s="1"/>
        <i x="97" s="1"/>
        <i x="45" s="1"/>
        <i x="130" s="1"/>
        <i x="49" s="1"/>
        <i x="22" s="1"/>
        <i x="9" s="1"/>
        <i x="89" s="1"/>
        <i x="99" s="1"/>
        <i x="29" s="1"/>
        <i x="76" s="1"/>
        <i x="46" s="1"/>
        <i x="13" s="1"/>
        <i x="23" s="1"/>
        <i x="90" s="1"/>
        <i x="107" s="1"/>
        <i x="8" s="1"/>
        <i x="34" s="1"/>
        <i x="17" s="1"/>
        <i x="3" s="1"/>
        <i x="61" s="1"/>
        <i x="44" s="1"/>
        <i x="16" s="1"/>
        <i x="126" s="1"/>
        <i x="21" s="1"/>
        <i x="112" s="1"/>
        <i x="125" s="1"/>
        <i x="119" s="1"/>
        <i x="101" s="1"/>
        <i x="57" s="1"/>
        <i x="118" s="1"/>
        <i x="63" s="1"/>
        <i x="35" s="1"/>
        <i x="116" s="1"/>
        <i x="1" s="1"/>
        <i x="102" s="1"/>
        <i x="127" s="1"/>
        <i x="33" s="1"/>
        <i x="2" s="1"/>
        <i x="100" s="1"/>
        <i x="58" s="1"/>
        <i x="108" s="1"/>
        <i x="86" s="1"/>
        <i x="50" s="1"/>
        <i x="117" s="1"/>
        <i x="5" s="1"/>
        <i x="103" s="1"/>
        <i x="20" s="1"/>
        <i x="131" s="1"/>
        <i x="10" s="1"/>
        <i x="5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igible_Bonus" xr10:uid="{2277CAD5-0094-4B66-8CDE-ED0215103588}" sourceName="Eligible Bonus">
  <pivotTables>
    <pivotTable tabId="5" name="PivotTable10"/>
    <pivotTable tabId="5" name="PivotTable1"/>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3"/>
    <pivotTable tabId="5" name="PivotTable4"/>
    <pivotTable tabId="5" name="PivotTable6"/>
    <pivotTable tabId="5" name="PivotTable7"/>
    <pivotTable tabId="5" name="PivotTable8"/>
    <pivotTable tabId="5" name="PivotTable9"/>
  </pivotTables>
  <data>
    <tabular pivotCacheId="356505201">
      <items count="115">
        <i x="4" s="1"/>
        <i x="48" s="1"/>
        <i x="81" s="1"/>
        <i x="0" s="1"/>
        <i x="33" s="1"/>
        <i x="106" s="1"/>
        <i x="104" s="1"/>
        <i x="78" s="1"/>
        <i x="51" s="1"/>
        <i x="45" s="1"/>
        <i x="8" s="1"/>
        <i x="22" s="1"/>
        <i x="36" s="1"/>
        <i x="77" s="1"/>
        <i x="18" s="1"/>
        <i x="72" s="1"/>
        <i x="21" s="1"/>
        <i x="67" s="1"/>
        <i x="60" s="1"/>
        <i x="102" s="1"/>
        <i x="74" s="1"/>
        <i x="97" s="1"/>
        <i x="82" s="1"/>
        <i x="25" s="1"/>
        <i x="41" s="1"/>
        <i x="16" s="1"/>
        <i x="7" s="1"/>
        <i x="66" s="1"/>
        <i x="9" s="1"/>
        <i x="17" s="1"/>
        <i x="27" s="1"/>
        <i x="110" s="1"/>
        <i x="108" s="1"/>
        <i x="54" s="1"/>
        <i x="111" s="1"/>
        <i x="59" s="1"/>
        <i x="2" s="1"/>
        <i x="76" s="1"/>
        <i x="42" s="1"/>
        <i x="14" s="1"/>
        <i x="64" s="1"/>
        <i x="112" s="1"/>
        <i x="93" s="1"/>
        <i x="68" s="1"/>
        <i x="43" s="1"/>
        <i x="73" s="1"/>
        <i x="31" s="1"/>
        <i x="26" s="1"/>
        <i x="5" s="1"/>
        <i x="95" s="1"/>
        <i x="11" s="1"/>
        <i x="24" s="1"/>
        <i x="75" s="1"/>
        <i x="46" s="1"/>
        <i x="61" s="1"/>
        <i x="91" s="1"/>
        <i x="40" s="1"/>
        <i x="13" s="1"/>
        <i x="58" s="1"/>
        <i x="86" s="1"/>
        <i x="92" s="1"/>
        <i x="10" s="1"/>
        <i x="105" s="1"/>
        <i x="84" s="1"/>
        <i x="20" s="1"/>
        <i x="35" s="1"/>
        <i x="55" s="1"/>
        <i x="80" s="1"/>
        <i x="103" s="1"/>
        <i x="65" s="1"/>
        <i x="30" s="1"/>
        <i x="32" s="1"/>
        <i x="63" s="1"/>
        <i x="56" s="1"/>
        <i x="38" s="1"/>
        <i x="113" s="1"/>
        <i x="23" s="1"/>
        <i x="39" s="1"/>
        <i x="50" s="1"/>
        <i x="79" s="1"/>
        <i x="6" s="1"/>
        <i x="3" s="1"/>
        <i x="52" s="1"/>
        <i x="37" s="1"/>
        <i x="34" s="1"/>
        <i x="101" s="1"/>
        <i x="96" s="1"/>
        <i x="88" s="1"/>
        <i x="71" s="1"/>
        <i x="29" s="1"/>
        <i x="98" s="1"/>
        <i x="1" s="1"/>
        <i x="94" s="1"/>
        <i x="90" s="1"/>
        <i x="12" s="1"/>
        <i x="53" s="1"/>
        <i x="19" s="1"/>
        <i x="83" s="1"/>
        <i x="62" s="1"/>
        <i x="70" s="1"/>
        <i x="85" s="1"/>
        <i x="87" s="1"/>
        <i x="107" s="1"/>
        <i x="57" s="1"/>
        <i x="15" s="1"/>
        <i x="49" s="1"/>
        <i x="100" s="1"/>
        <i x="99" s="1"/>
        <i x="89" s="1"/>
        <i x="109" s="1"/>
        <i x="114" s="1"/>
        <i x="69" s="1"/>
        <i x="47" s="1"/>
        <i x="28" s="1"/>
        <i x="4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_Score" xr10:uid="{9764E500-39FF-4C1B-A86D-450F93E35C80}" sourceName="Perf_Score">
  <pivotTables>
    <pivotTable tabId="5" name="PivotTable10"/>
    <pivotTable tabId="5" name="PivotTable1"/>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3"/>
    <pivotTable tabId="5" name="PivotTable4"/>
    <pivotTable tabId="5" name="PivotTable6"/>
    <pivotTable tabId="5" name="PivotTable7"/>
    <pivotTable tabId="5" name="PivotTable8"/>
    <pivotTable tabId="5" name="PivotTable9"/>
  </pivotTables>
  <data>
    <tabular pivotCacheId="356505201">
      <items count="58">
        <i x="26" s="1"/>
        <i x="18" s="1"/>
        <i x="37" s="1"/>
        <i x="46" s="1"/>
        <i x="55" s="1"/>
        <i x="43" s="1"/>
        <i x="54" s="1"/>
        <i x="4" s="1"/>
        <i x="12" s="1"/>
        <i x="6" s="1"/>
        <i x="39" s="1"/>
        <i x="10" s="1"/>
        <i x="5" s="1"/>
        <i x="15" s="1"/>
        <i x="51" s="1"/>
        <i x="0" s="1"/>
        <i x="32" s="1"/>
        <i x="2" s="1"/>
        <i x="29" s="1"/>
        <i x="49" s="1"/>
        <i x="8" s="1"/>
        <i x="19" s="1"/>
        <i x="41" s="1"/>
        <i x="9" s="1"/>
        <i x="33" s="1"/>
        <i x="17" s="1"/>
        <i x="36" s="1"/>
        <i x="21" s="1"/>
        <i x="45" s="1"/>
        <i x="22" s="1"/>
        <i x="50" s="1"/>
        <i x="3" s="1"/>
        <i x="28" s="1"/>
        <i x="24" s="1"/>
        <i x="57" s="1"/>
        <i x="1" s="1"/>
        <i x="14" s="1"/>
        <i x="30" s="1"/>
        <i x="11" s="1"/>
        <i x="25" s="1"/>
        <i x="7" s="1"/>
        <i x="23" s="1"/>
        <i x="48" s="1"/>
        <i x="52" s="1"/>
        <i x="53" s="1"/>
        <i x="31" s="1"/>
        <i x="42" s="1"/>
        <i x="16" s="1"/>
        <i x="20" s="1"/>
        <i x="38" s="1"/>
        <i x="56" s="1"/>
        <i x="13" s="1"/>
        <i x="47" s="1"/>
        <i x="35" s="1"/>
        <i x="34" s="1"/>
        <i x="44" s="1"/>
        <i x="27" s="1"/>
        <i x="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xr10:uid="{88AD5A2C-9EB9-4113-81B2-C6E4B62B4534}" cache="Slicer_Department_Name" caption="Department Name" style="SlicerStyleDark4" rowHeight="234950"/>
  <slicer name="Year of Service" xr10:uid="{B43D5A00-9223-4C63-89A6-EDA0148885E9}" cache="Slicer_Year_of_Service" caption="Year of Service" startItem="47" style="SlicerStyleDark4" rowHeight="234950"/>
  <slicer name="Salary" xr10:uid="{5EE81D4F-AC95-4E3E-AF5B-35BDDB4D7BFE}" cache="Slicer_Salary" caption="Salary" style="SlicerStyleDark4" rowHeight="234950"/>
  <slicer name="Eligible Bonus" xr10:uid="{9BFA4438-F21F-4ECE-995E-FA6F608568C2}" cache="Slicer_Eligible_Bonus" caption="Eligible Bonus" startItem="36" style="SlicerStyleDark4" rowHeight="234950"/>
  <slicer name="Perf_Score" xr10:uid="{A6B075D4-BCA4-4E6F-ACA4-E68176B746F3}" cache="Slicer_Perf_Score" caption="Perf_Score" startItem="18"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D47D75-EE87-4345-A034-71C3EE2A6F05}" name="Table1" displayName="Table1" ref="B1:N151" totalsRowShown="0" headerRowDxfId="150" headerRowBorderDxfId="149" tableBorderDxfId="148">
  <autoFilter ref="B1:N151" xr:uid="{86D47D75-EE87-4345-A034-71C3EE2A6F05}"/>
  <tableColumns count="13">
    <tableColumn id="1" xr3:uid="{1825F7B9-A81A-4596-AF6F-9BEBA1D8D2E6}" name="Emp ID"/>
    <tableColumn id="2" xr3:uid="{450B9DA1-31FF-465F-8A0A-4922AA86D74C}" name="First_Name"/>
    <tableColumn id="3" xr3:uid="{4589AFC6-8D97-4F16-8E2D-979BC10F49DD}" name="Last_Name"/>
    <tableColumn id="11" xr3:uid="{1FFEDA6F-66D0-4A2F-AC9F-32CC4C534D1A}" name="Full Name" dataDxfId="147">
      <calculatedColumnFormula>TRIM(Table1[[#This Row],[First_Name]]&amp;" "&amp;Table1[[#This Row],[Last_Name]])</calculatedColumnFormula>
    </tableColumn>
    <tableColumn id="4" xr3:uid="{5E2A306E-5F7D-44F1-AC2B-27810B86DE10}" name="Dept Code"/>
    <tableColumn id="12" xr3:uid="{DDDE3088-C92A-4C58-B988-1006A31EED68}" name="Department Name" dataDxfId="146">
      <calculatedColumnFormula>VLOOKUP(Table1[[#This Row],[Dept Code]],Lookup_Departments!$A:$B,2,FALSE)</calculatedColumnFormula>
    </tableColumn>
    <tableColumn id="10" xr3:uid="{6C9FB0A6-4840-44F0-A80D-328D141E7EBE}" name="Hire Date" dataDxfId="145"/>
    <tableColumn id="13" xr3:uid="{E184BC20-5132-4E03-AB6E-6DB5DC2CD4A5}" name="Year of Service" dataDxfId="144">
      <calculatedColumnFormula>ROUND((TODAY()-Table1[[#This Row],[Hire Date]])/365.25,1)</calculatedColumnFormula>
    </tableColumn>
    <tableColumn id="6" xr3:uid="{0D672797-1CB1-49A8-B3A9-1C20089D2D2A}" name="Salary" dataDxfId="143"/>
    <tableColumn id="14" xr3:uid="{00FE54D4-78CC-4D28-B109-9768F5CE213B}" name="Eligible Bonus" dataDxfId="142">
      <calculatedColumnFormula>J2*VLOOKUP(L2,Lookup_Performance!$A:$D,4,TRUE)</calculatedColumnFormula>
    </tableColumn>
    <tableColumn id="7" xr3:uid="{2237018E-F2E2-4B9A-B3F5-8ED6B23F021D}" name="Perf_Score"/>
    <tableColumn id="15" xr3:uid="{762BB4E3-4765-4454-BFDF-7BEE4CB45321}" name="Performance Band" dataDxfId="141">
      <calculatedColumnFormula>VLOOKUP(Table1[[#This Row],[Perf_Score]],Lookup_Performance!$A:$D,3,TRUE)</calculatedColumnFormula>
    </tableColumn>
    <tableColumn id="8" xr3:uid="{5D51C740-D1B6-41B5-AC16-C18567083A78}" name="Employment 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8"/>
  <sheetViews>
    <sheetView workbookViewId="0">
      <selection activeCell="M5" sqref="M5:M10"/>
    </sheetView>
  </sheetViews>
  <sheetFormatPr defaultRowHeight="14.4" x14ac:dyDescent="0.3"/>
  <cols>
    <col min="5" max="5" width="18.109375" bestFit="1"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s="2">
        <v>43093</v>
      </c>
      <c r="F2">
        <v>50361</v>
      </c>
      <c r="G2">
        <v>52</v>
      </c>
      <c r="H2" t="s">
        <v>12</v>
      </c>
    </row>
    <row r="3" spans="1:8" x14ac:dyDescent="0.3">
      <c r="A3" t="s">
        <v>13</v>
      </c>
      <c r="B3" t="s">
        <v>14</v>
      </c>
      <c r="C3" t="s">
        <v>15</v>
      </c>
      <c r="D3" t="s">
        <v>16</v>
      </c>
      <c r="E3" s="2">
        <v>44659</v>
      </c>
      <c r="F3">
        <v>112673</v>
      </c>
      <c r="H3" t="s">
        <v>17</v>
      </c>
    </row>
    <row r="4" spans="1:8" x14ac:dyDescent="0.3">
      <c r="A4" t="s">
        <v>18</v>
      </c>
      <c r="B4" t="s">
        <v>9</v>
      </c>
      <c r="C4" t="s">
        <v>19</v>
      </c>
      <c r="D4" t="s">
        <v>20</v>
      </c>
      <c r="E4" s="2">
        <v>42431</v>
      </c>
      <c r="F4" t="s">
        <v>21</v>
      </c>
      <c r="G4">
        <v>54</v>
      </c>
      <c r="H4" t="s">
        <v>22</v>
      </c>
    </row>
    <row r="5" spans="1:8" x14ac:dyDescent="0.3">
      <c r="A5" t="s">
        <v>23</v>
      </c>
      <c r="B5" t="s">
        <v>24</v>
      </c>
      <c r="C5" t="s">
        <v>25</v>
      </c>
      <c r="D5" t="s">
        <v>26</v>
      </c>
      <c r="E5" s="2">
        <v>45110</v>
      </c>
      <c r="F5">
        <v>103831</v>
      </c>
      <c r="G5">
        <v>70</v>
      </c>
      <c r="H5" t="s">
        <v>12</v>
      </c>
    </row>
    <row r="6" spans="1:8" x14ac:dyDescent="0.3">
      <c r="A6" t="s">
        <v>27</v>
      </c>
      <c r="B6" t="s">
        <v>28</v>
      </c>
      <c r="C6" t="s">
        <v>29</v>
      </c>
      <c r="D6" t="s">
        <v>11</v>
      </c>
      <c r="E6" s="2">
        <v>44977</v>
      </c>
      <c r="F6">
        <v>73785</v>
      </c>
      <c r="G6">
        <v>40</v>
      </c>
      <c r="H6" t="s">
        <v>30</v>
      </c>
    </row>
    <row r="7" spans="1:8" x14ac:dyDescent="0.3">
      <c r="A7" t="s">
        <v>31</v>
      </c>
      <c r="B7" t="s">
        <v>9</v>
      </c>
      <c r="C7" t="s">
        <v>32</v>
      </c>
      <c r="D7" t="s">
        <v>33</v>
      </c>
      <c r="E7" t="s">
        <v>34</v>
      </c>
      <c r="F7">
        <v>115882</v>
      </c>
      <c r="G7">
        <v>49</v>
      </c>
      <c r="H7" t="s">
        <v>17</v>
      </c>
    </row>
    <row r="8" spans="1:8" x14ac:dyDescent="0.3">
      <c r="A8" t="s">
        <v>35</v>
      </c>
      <c r="B8" t="s">
        <v>24</v>
      </c>
      <c r="C8" t="s">
        <v>36</v>
      </c>
      <c r="D8" t="s">
        <v>37</v>
      </c>
      <c r="E8" s="2">
        <v>45272</v>
      </c>
      <c r="F8">
        <v>59980</v>
      </c>
      <c r="G8">
        <v>70</v>
      </c>
      <c r="H8" t="s">
        <v>30</v>
      </c>
    </row>
    <row r="9" spans="1:8" x14ac:dyDescent="0.3">
      <c r="A9" t="s">
        <v>38</v>
      </c>
      <c r="B9" t="s">
        <v>39</v>
      </c>
      <c r="C9" t="s">
        <v>29</v>
      </c>
      <c r="D9" t="s">
        <v>37</v>
      </c>
      <c r="E9" s="2">
        <v>44174</v>
      </c>
      <c r="F9">
        <v>68728</v>
      </c>
      <c r="G9">
        <v>45</v>
      </c>
      <c r="H9" t="s">
        <v>17</v>
      </c>
    </row>
    <row r="10" spans="1:8" x14ac:dyDescent="0.3">
      <c r="A10" t="s">
        <v>40</v>
      </c>
      <c r="C10" t="s">
        <v>41</v>
      </c>
      <c r="D10" t="s">
        <v>26</v>
      </c>
      <c r="E10" s="2">
        <v>43107</v>
      </c>
      <c r="F10">
        <v>102139</v>
      </c>
      <c r="G10">
        <v>79</v>
      </c>
      <c r="H10" t="s">
        <v>12</v>
      </c>
    </row>
    <row r="11" spans="1:8" x14ac:dyDescent="0.3">
      <c r="A11" t="s">
        <v>42</v>
      </c>
      <c r="B11" t="s">
        <v>43</v>
      </c>
      <c r="C11" t="s">
        <v>25</v>
      </c>
      <c r="D11" t="s">
        <v>44</v>
      </c>
      <c r="E11" s="2">
        <v>42676</v>
      </c>
      <c r="F11">
        <v>94998</v>
      </c>
      <c r="G11">
        <v>58</v>
      </c>
      <c r="H11" t="s">
        <v>45</v>
      </c>
    </row>
    <row r="12" spans="1:8" x14ac:dyDescent="0.3">
      <c r="A12" t="s">
        <v>46</v>
      </c>
      <c r="B12" t="s">
        <v>9</v>
      </c>
      <c r="C12" t="s">
        <v>47</v>
      </c>
      <c r="D12" t="s">
        <v>48</v>
      </c>
      <c r="E12" s="2">
        <v>43911</v>
      </c>
      <c r="F12" t="s">
        <v>49</v>
      </c>
      <c r="G12">
        <v>49</v>
      </c>
      <c r="H12" t="s">
        <v>45</v>
      </c>
    </row>
    <row r="13" spans="1:8" x14ac:dyDescent="0.3">
      <c r="A13" t="s">
        <v>50</v>
      </c>
      <c r="B13" t="s">
        <v>9</v>
      </c>
      <c r="C13" t="s">
        <v>15</v>
      </c>
      <c r="D13" t="s">
        <v>11</v>
      </c>
      <c r="E13" s="2">
        <v>42425</v>
      </c>
      <c r="F13">
        <v>76918</v>
      </c>
      <c r="G13">
        <v>62</v>
      </c>
      <c r="H13" t="s">
        <v>51</v>
      </c>
    </row>
    <row r="14" spans="1:8" x14ac:dyDescent="0.3">
      <c r="A14" t="s">
        <v>52</v>
      </c>
      <c r="B14" t="s">
        <v>53</v>
      </c>
      <c r="C14" t="s">
        <v>54</v>
      </c>
      <c r="D14" t="s">
        <v>55</v>
      </c>
      <c r="E14" t="s">
        <v>56</v>
      </c>
      <c r="F14">
        <v>61408</v>
      </c>
      <c r="G14">
        <v>48</v>
      </c>
      <c r="H14" t="s">
        <v>17</v>
      </c>
    </row>
    <row r="15" spans="1:8" x14ac:dyDescent="0.3">
      <c r="A15" t="s">
        <v>57</v>
      </c>
      <c r="B15" t="s">
        <v>53</v>
      </c>
      <c r="C15" t="s">
        <v>47</v>
      </c>
      <c r="D15" t="s">
        <v>16</v>
      </c>
      <c r="E15" s="2">
        <v>44001</v>
      </c>
      <c r="F15">
        <v>99990</v>
      </c>
      <c r="G15">
        <v>54</v>
      </c>
      <c r="H15" t="s">
        <v>51</v>
      </c>
    </row>
    <row r="16" spans="1:8" x14ac:dyDescent="0.3">
      <c r="A16" t="s">
        <v>58</v>
      </c>
      <c r="B16" t="s">
        <v>59</v>
      </c>
      <c r="C16" t="s">
        <v>60</v>
      </c>
      <c r="D16" t="s">
        <v>61</v>
      </c>
      <c r="E16" s="2">
        <v>43820</v>
      </c>
      <c r="F16">
        <v>80385</v>
      </c>
      <c r="H16" t="s">
        <v>12</v>
      </c>
    </row>
    <row r="17" spans="1:8" x14ac:dyDescent="0.3">
      <c r="A17" t="s">
        <v>62</v>
      </c>
      <c r="B17" t="s">
        <v>28</v>
      </c>
      <c r="C17" t="s">
        <v>41</v>
      </c>
      <c r="D17" t="s">
        <v>44</v>
      </c>
      <c r="E17" s="2">
        <v>45169</v>
      </c>
      <c r="F17">
        <v>65290</v>
      </c>
      <c r="G17">
        <v>77</v>
      </c>
      <c r="H17" t="s">
        <v>12</v>
      </c>
    </row>
    <row r="18" spans="1:8" x14ac:dyDescent="0.3">
      <c r="A18" t="s">
        <v>63</v>
      </c>
      <c r="B18" t="s">
        <v>9</v>
      </c>
      <c r="C18" t="s">
        <v>64</v>
      </c>
      <c r="D18" t="s">
        <v>11</v>
      </c>
      <c r="E18" s="2">
        <v>42337</v>
      </c>
      <c r="F18">
        <v>105765</v>
      </c>
      <c r="G18">
        <v>42</v>
      </c>
      <c r="H18" t="s">
        <v>45</v>
      </c>
    </row>
    <row r="19" spans="1:8" x14ac:dyDescent="0.3">
      <c r="A19" t="s">
        <v>65</v>
      </c>
      <c r="B19" t="s">
        <v>66</v>
      </c>
      <c r="C19" t="s">
        <v>25</v>
      </c>
      <c r="D19" t="s">
        <v>44</v>
      </c>
      <c r="E19" s="2">
        <v>42899</v>
      </c>
      <c r="F19">
        <v>102921</v>
      </c>
      <c r="G19">
        <v>49</v>
      </c>
      <c r="H19" t="s">
        <v>17</v>
      </c>
    </row>
    <row r="20" spans="1:8" x14ac:dyDescent="0.3">
      <c r="A20" t="s">
        <v>50</v>
      </c>
      <c r="B20" t="s">
        <v>9</v>
      </c>
      <c r="C20" t="s">
        <v>15</v>
      </c>
      <c r="D20" t="s">
        <v>11</v>
      </c>
      <c r="E20" s="2">
        <v>42425</v>
      </c>
      <c r="F20">
        <v>76918</v>
      </c>
      <c r="G20">
        <v>62</v>
      </c>
      <c r="H20" t="s">
        <v>51</v>
      </c>
    </row>
    <row r="21" spans="1:8" x14ac:dyDescent="0.3">
      <c r="A21" t="s">
        <v>67</v>
      </c>
      <c r="B21" t="s">
        <v>68</v>
      </c>
      <c r="C21" t="s">
        <v>69</v>
      </c>
      <c r="D21" t="s">
        <v>16</v>
      </c>
      <c r="E21" s="2">
        <v>43235</v>
      </c>
      <c r="F21">
        <v>73984</v>
      </c>
      <c r="G21">
        <v>93</v>
      </c>
      <c r="H21" t="s">
        <v>51</v>
      </c>
    </row>
    <row r="22" spans="1:8" x14ac:dyDescent="0.3">
      <c r="A22" t="s">
        <v>70</v>
      </c>
      <c r="B22" t="s">
        <v>71</v>
      </c>
      <c r="C22" t="s">
        <v>19</v>
      </c>
      <c r="D22" t="s">
        <v>11</v>
      </c>
      <c r="E22" s="2">
        <v>42575</v>
      </c>
      <c r="G22">
        <v>75</v>
      </c>
      <c r="H22" t="s">
        <v>51</v>
      </c>
    </row>
    <row r="23" spans="1:8" x14ac:dyDescent="0.3">
      <c r="A23" t="s">
        <v>72</v>
      </c>
      <c r="B23" t="s">
        <v>43</v>
      </c>
      <c r="C23" t="s">
        <v>15</v>
      </c>
      <c r="D23" t="s">
        <v>26</v>
      </c>
      <c r="E23" s="2">
        <v>43076</v>
      </c>
      <c r="F23">
        <v>118527</v>
      </c>
      <c r="G23">
        <v>50</v>
      </c>
      <c r="H23" t="s">
        <v>51</v>
      </c>
    </row>
    <row r="24" spans="1:8" x14ac:dyDescent="0.3">
      <c r="A24" t="s">
        <v>73</v>
      </c>
      <c r="B24" t="s">
        <v>14</v>
      </c>
      <c r="C24" t="s">
        <v>15</v>
      </c>
      <c r="D24" t="s">
        <v>16</v>
      </c>
      <c r="E24" s="2">
        <v>44353</v>
      </c>
      <c r="F24">
        <v>107871</v>
      </c>
      <c r="G24">
        <v>88</v>
      </c>
      <c r="H24" t="s">
        <v>12</v>
      </c>
    </row>
    <row r="25" spans="1:8" x14ac:dyDescent="0.3">
      <c r="A25" t="s">
        <v>74</v>
      </c>
      <c r="B25" t="s">
        <v>43</v>
      </c>
      <c r="C25" t="s">
        <v>41</v>
      </c>
      <c r="D25" t="s">
        <v>20</v>
      </c>
      <c r="E25" s="2">
        <v>44815</v>
      </c>
      <c r="F25">
        <v>93956</v>
      </c>
      <c r="G25">
        <v>50</v>
      </c>
      <c r="H25" t="s">
        <v>22</v>
      </c>
    </row>
    <row r="26" spans="1:8" x14ac:dyDescent="0.3">
      <c r="A26" t="s">
        <v>75</v>
      </c>
      <c r="B26" t="s">
        <v>39</v>
      </c>
      <c r="C26" t="s">
        <v>32</v>
      </c>
      <c r="D26" t="s">
        <v>76</v>
      </c>
      <c r="E26" s="2">
        <v>42565</v>
      </c>
      <c r="F26">
        <v>100851</v>
      </c>
      <c r="G26">
        <v>64</v>
      </c>
      <c r="H26" t="s">
        <v>17</v>
      </c>
    </row>
    <row r="27" spans="1:8" x14ac:dyDescent="0.3">
      <c r="A27" t="s">
        <v>77</v>
      </c>
      <c r="B27" t="s">
        <v>68</v>
      </c>
      <c r="C27" t="s">
        <v>54</v>
      </c>
      <c r="D27" t="s">
        <v>44</v>
      </c>
      <c r="E27" s="2">
        <v>44728</v>
      </c>
      <c r="F27">
        <v>68655</v>
      </c>
      <c r="G27">
        <v>32</v>
      </c>
      <c r="H27" t="s">
        <v>12</v>
      </c>
    </row>
    <row r="28" spans="1:8" x14ac:dyDescent="0.3">
      <c r="A28" t="s">
        <v>78</v>
      </c>
      <c r="C28" t="s">
        <v>54</v>
      </c>
      <c r="D28" t="s">
        <v>79</v>
      </c>
      <c r="E28" s="2">
        <v>45134</v>
      </c>
      <c r="F28">
        <v>81205</v>
      </c>
      <c r="G28">
        <v>59</v>
      </c>
      <c r="H28" t="s">
        <v>51</v>
      </c>
    </row>
    <row r="29" spans="1:8" x14ac:dyDescent="0.3">
      <c r="A29" t="s">
        <v>80</v>
      </c>
      <c r="B29" t="s">
        <v>24</v>
      </c>
      <c r="C29" t="s">
        <v>36</v>
      </c>
      <c r="D29" t="s">
        <v>44</v>
      </c>
      <c r="E29" t="s">
        <v>81</v>
      </c>
      <c r="F29" t="s">
        <v>82</v>
      </c>
      <c r="G29">
        <v>88</v>
      </c>
      <c r="H29" t="s">
        <v>51</v>
      </c>
    </row>
    <row r="30" spans="1:8" x14ac:dyDescent="0.3">
      <c r="A30" t="s">
        <v>83</v>
      </c>
      <c r="B30" t="s">
        <v>28</v>
      </c>
      <c r="C30" t="s">
        <v>41</v>
      </c>
      <c r="D30" t="s">
        <v>84</v>
      </c>
      <c r="E30" s="2">
        <v>44765</v>
      </c>
      <c r="F30" t="s">
        <v>85</v>
      </c>
      <c r="G30">
        <v>90</v>
      </c>
      <c r="H30" t="s">
        <v>45</v>
      </c>
    </row>
    <row r="31" spans="1:8" x14ac:dyDescent="0.3">
      <c r="A31" t="s">
        <v>86</v>
      </c>
      <c r="B31" t="s">
        <v>43</v>
      </c>
      <c r="C31" t="s">
        <v>36</v>
      </c>
      <c r="D31" t="s">
        <v>87</v>
      </c>
      <c r="E31" t="s">
        <v>88</v>
      </c>
      <c r="F31">
        <v>85312</v>
      </c>
      <c r="G31">
        <v>66</v>
      </c>
      <c r="H31" t="s">
        <v>12</v>
      </c>
    </row>
    <row r="32" spans="1:8" x14ac:dyDescent="0.3">
      <c r="A32" t="s">
        <v>89</v>
      </c>
      <c r="B32" t="s">
        <v>24</v>
      </c>
      <c r="C32" t="s">
        <v>41</v>
      </c>
      <c r="D32" t="s">
        <v>44</v>
      </c>
      <c r="E32" s="2">
        <v>42202</v>
      </c>
      <c r="G32">
        <v>68</v>
      </c>
      <c r="H32" t="s">
        <v>12</v>
      </c>
    </row>
    <row r="33" spans="1:8" x14ac:dyDescent="0.3">
      <c r="A33" t="s">
        <v>90</v>
      </c>
      <c r="B33" t="s">
        <v>28</v>
      </c>
      <c r="C33" t="s">
        <v>15</v>
      </c>
      <c r="D33" t="s">
        <v>33</v>
      </c>
      <c r="E33" t="s">
        <v>91</v>
      </c>
      <c r="F33">
        <v>97055</v>
      </c>
      <c r="G33">
        <v>80</v>
      </c>
      <c r="H33" t="s">
        <v>51</v>
      </c>
    </row>
    <row r="34" spans="1:8" x14ac:dyDescent="0.3">
      <c r="A34" t="s">
        <v>92</v>
      </c>
      <c r="B34" t="s">
        <v>43</v>
      </c>
      <c r="C34" t="s">
        <v>32</v>
      </c>
      <c r="D34" t="s">
        <v>11</v>
      </c>
      <c r="E34" s="2">
        <v>45195</v>
      </c>
      <c r="F34">
        <v>66069</v>
      </c>
      <c r="G34">
        <v>72</v>
      </c>
      <c r="H34" t="s">
        <v>51</v>
      </c>
    </row>
    <row r="35" spans="1:8" x14ac:dyDescent="0.3">
      <c r="A35" t="s">
        <v>93</v>
      </c>
      <c r="B35" t="s">
        <v>94</v>
      </c>
      <c r="C35" t="s">
        <v>10</v>
      </c>
      <c r="D35" t="s">
        <v>84</v>
      </c>
      <c r="E35" t="s">
        <v>95</v>
      </c>
      <c r="F35">
        <v>90157</v>
      </c>
      <c r="G35">
        <v>58</v>
      </c>
      <c r="H35" t="s">
        <v>12</v>
      </c>
    </row>
    <row r="36" spans="1:8" x14ac:dyDescent="0.3">
      <c r="A36" t="s">
        <v>96</v>
      </c>
      <c r="B36" t="s">
        <v>53</v>
      </c>
      <c r="C36" t="s">
        <v>25</v>
      </c>
      <c r="D36" t="s">
        <v>97</v>
      </c>
      <c r="E36" s="2">
        <v>44578</v>
      </c>
      <c r="F36">
        <v>59899</v>
      </c>
      <c r="G36">
        <v>78</v>
      </c>
      <c r="H36" t="s">
        <v>51</v>
      </c>
    </row>
    <row r="37" spans="1:8" x14ac:dyDescent="0.3">
      <c r="A37" t="s">
        <v>98</v>
      </c>
      <c r="B37" t="s">
        <v>9</v>
      </c>
      <c r="C37" t="s">
        <v>60</v>
      </c>
      <c r="D37" t="s">
        <v>76</v>
      </c>
      <c r="E37" t="s">
        <v>99</v>
      </c>
      <c r="F37">
        <v>113389</v>
      </c>
      <c r="G37">
        <v>30</v>
      </c>
      <c r="H37" t="s">
        <v>17</v>
      </c>
    </row>
    <row r="38" spans="1:8" x14ac:dyDescent="0.3">
      <c r="A38" t="s">
        <v>100</v>
      </c>
      <c r="C38" t="s">
        <v>10</v>
      </c>
      <c r="D38" t="s">
        <v>20</v>
      </c>
      <c r="E38" t="s">
        <v>101</v>
      </c>
      <c r="F38">
        <v>102691</v>
      </c>
      <c r="G38">
        <v>52</v>
      </c>
      <c r="H38" t="s">
        <v>45</v>
      </c>
    </row>
    <row r="39" spans="1:8" x14ac:dyDescent="0.3">
      <c r="A39" t="s">
        <v>102</v>
      </c>
      <c r="B39" t="s">
        <v>24</v>
      </c>
      <c r="C39" t="s">
        <v>36</v>
      </c>
      <c r="D39" t="s">
        <v>33</v>
      </c>
      <c r="E39" t="s">
        <v>103</v>
      </c>
      <c r="F39">
        <v>111845</v>
      </c>
      <c r="G39">
        <v>98</v>
      </c>
      <c r="H39" t="s">
        <v>12</v>
      </c>
    </row>
    <row r="40" spans="1:8" x14ac:dyDescent="0.3">
      <c r="A40" t="s">
        <v>104</v>
      </c>
      <c r="B40" t="s">
        <v>105</v>
      </c>
      <c r="C40" t="s">
        <v>10</v>
      </c>
      <c r="D40" t="s">
        <v>79</v>
      </c>
      <c r="E40" t="s">
        <v>106</v>
      </c>
      <c r="F40">
        <v>69219</v>
      </c>
      <c r="G40">
        <v>93</v>
      </c>
      <c r="H40" t="s">
        <v>51</v>
      </c>
    </row>
    <row r="41" spans="1:8" x14ac:dyDescent="0.3">
      <c r="A41" t="s">
        <v>107</v>
      </c>
      <c r="B41" t="s">
        <v>43</v>
      </c>
      <c r="C41" t="s">
        <v>29</v>
      </c>
      <c r="D41" t="s">
        <v>26</v>
      </c>
      <c r="E41" s="2">
        <v>43949</v>
      </c>
      <c r="G41">
        <v>80</v>
      </c>
      <c r="H41" t="s">
        <v>108</v>
      </c>
    </row>
    <row r="42" spans="1:8" x14ac:dyDescent="0.3">
      <c r="A42" t="s">
        <v>109</v>
      </c>
      <c r="B42" t="s">
        <v>94</v>
      </c>
      <c r="C42" t="s">
        <v>47</v>
      </c>
      <c r="D42" t="s">
        <v>33</v>
      </c>
      <c r="E42" t="s">
        <v>110</v>
      </c>
      <c r="F42">
        <v>57514</v>
      </c>
      <c r="H42" t="s">
        <v>12</v>
      </c>
    </row>
    <row r="43" spans="1:8" x14ac:dyDescent="0.3">
      <c r="A43" t="s">
        <v>111</v>
      </c>
      <c r="B43" t="s">
        <v>9</v>
      </c>
      <c r="C43" t="s">
        <v>36</v>
      </c>
      <c r="D43" t="s">
        <v>44</v>
      </c>
      <c r="E43" s="2">
        <v>43181</v>
      </c>
      <c r="F43">
        <v>86245</v>
      </c>
      <c r="G43">
        <v>71</v>
      </c>
      <c r="H43" t="s">
        <v>22</v>
      </c>
    </row>
    <row r="44" spans="1:8" x14ac:dyDescent="0.3">
      <c r="A44" t="s">
        <v>112</v>
      </c>
      <c r="B44" t="s">
        <v>113</v>
      </c>
      <c r="C44" t="s">
        <v>15</v>
      </c>
      <c r="D44" t="s">
        <v>44</v>
      </c>
      <c r="E44" s="2">
        <v>43958</v>
      </c>
      <c r="F44">
        <v>52407</v>
      </c>
      <c r="G44">
        <v>55</v>
      </c>
      <c r="H44" t="s">
        <v>12</v>
      </c>
    </row>
    <row r="45" spans="1:8" x14ac:dyDescent="0.3">
      <c r="A45" t="s">
        <v>114</v>
      </c>
      <c r="B45" t="s">
        <v>66</v>
      </c>
      <c r="C45" t="s">
        <v>29</v>
      </c>
      <c r="D45" t="s">
        <v>37</v>
      </c>
      <c r="E45" s="2">
        <v>43549</v>
      </c>
      <c r="F45" t="s">
        <v>115</v>
      </c>
      <c r="G45">
        <v>93</v>
      </c>
      <c r="H45" t="s">
        <v>116</v>
      </c>
    </row>
    <row r="46" spans="1:8" x14ac:dyDescent="0.3">
      <c r="A46" t="s">
        <v>117</v>
      </c>
      <c r="B46" t="s">
        <v>94</v>
      </c>
      <c r="C46" t="s">
        <v>54</v>
      </c>
      <c r="D46" t="s">
        <v>11</v>
      </c>
      <c r="E46" s="2">
        <v>43686</v>
      </c>
      <c r="F46">
        <v>81896</v>
      </c>
      <c r="G46">
        <v>79</v>
      </c>
      <c r="H46" t="s">
        <v>116</v>
      </c>
    </row>
    <row r="47" spans="1:8" x14ac:dyDescent="0.3">
      <c r="A47" t="s">
        <v>118</v>
      </c>
      <c r="B47" t="s">
        <v>71</v>
      </c>
      <c r="C47" t="s">
        <v>69</v>
      </c>
      <c r="D47" t="s">
        <v>44</v>
      </c>
      <c r="E47" t="s">
        <v>119</v>
      </c>
      <c r="F47">
        <v>78402</v>
      </c>
      <c r="G47">
        <v>54</v>
      </c>
      <c r="H47" t="s">
        <v>17</v>
      </c>
    </row>
    <row r="48" spans="1:8" x14ac:dyDescent="0.3">
      <c r="A48" t="s">
        <v>120</v>
      </c>
      <c r="B48" t="s">
        <v>28</v>
      </c>
      <c r="C48" t="s">
        <v>69</v>
      </c>
      <c r="D48" t="s">
        <v>37</v>
      </c>
      <c r="E48" s="2">
        <v>42647</v>
      </c>
      <c r="F48">
        <v>105498</v>
      </c>
      <c r="G48">
        <v>76</v>
      </c>
      <c r="H48" t="s">
        <v>12</v>
      </c>
    </row>
    <row r="49" spans="1:8" x14ac:dyDescent="0.3">
      <c r="A49" t="s">
        <v>121</v>
      </c>
      <c r="B49" t="s">
        <v>105</v>
      </c>
      <c r="C49" t="s">
        <v>32</v>
      </c>
      <c r="D49" t="s">
        <v>16</v>
      </c>
      <c r="E49" t="s">
        <v>122</v>
      </c>
      <c r="F49">
        <v>91749</v>
      </c>
      <c r="G49">
        <v>72</v>
      </c>
      <c r="H49" t="s">
        <v>108</v>
      </c>
    </row>
    <row r="50" spans="1:8" x14ac:dyDescent="0.3">
      <c r="A50" t="s">
        <v>123</v>
      </c>
      <c r="B50" t="s">
        <v>71</v>
      </c>
      <c r="C50" t="s">
        <v>32</v>
      </c>
      <c r="D50" t="s">
        <v>37</v>
      </c>
      <c r="E50" s="2">
        <v>44437</v>
      </c>
      <c r="F50">
        <v>99935</v>
      </c>
      <c r="G50">
        <v>84</v>
      </c>
      <c r="H50" t="s">
        <v>116</v>
      </c>
    </row>
    <row r="51" spans="1:8" x14ac:dyDescent="0.3">
      <c r="A51" t="s">
        <v>124</v>
      </c>
      <c r="B51" t="s">
        <v>24</v>
      </c>
      <c r="C51" t="s">
        <v>64</v>
      </c>
      <c r="D51" t="s">
        <v>20</v>
      </c>
      <c r="E51" s="2">
        <v>42761</v>
      </c>
      <c r="F51">
        <v>83531</v>
      </c>
      <c r="G51">
        <v>30</v>
      </c>
      <c r="H51" t="s">
        <v>108</v>
      </c>
    </row>
    <row r="52" spans="1:8" x14ac:dyDescent="0.3">
      <c r="A52" t="s">
        <v>125</v>
      </c>
      <c r="B52" t="s">
        <v>66</v>
      </c>
      <c r="C52" t="s">
        <v>32</v>
      </c>
      <c r="D52" t="s">
        <v>55</v>
      </c>
      <c r="E52" s="2">
        <v>43981</v>
      </c>
      <c r="F52" t="s">
        <v>126</v>
      </c>
      <c r="H52" t="s">
        <v>17</v>
      </c>
    </row>
    <row r="53" spans="1:8" x14ac:dyDescent="0.3">
      <c r="A53" t="s">
        <v>127</v>
      </c>
      <c r="B53" t="s">
        <v>53</v>
      </c>
      <c r="C53" t="s">
        <v>64</v>
      </c>
      <c r="D53" t="s">
        <v>97</v>
      </c>
      <c r="E53" s="2">
        <v>44612</v>
      </c>
      <c r="F53">
        <v>93290</v>
      </c>
      <c r="G53">
        <v>53</v>
      </c>
      <c r="H53" t="s">
        <v>17</v>
      </c>
    </row>
    <row r="54" spans="1:8" x14ac:dyDescent="0.3">
      <c r="A54" t="s">
        <v>128</v>
      </c>
      <c r="B54" t="s">
        <v>14</v>
      </c>
      <c r="C54" t="s">
        <v>64</v>
      </c>
      <c r="D54" t="s">
        <v>33</v>
      </c>
      <c r="E54" s="2">
        <v>42628</v>
      </c>
      <c r="F54">
        <v>115527</v>
      </c>
      <c r="G54">
        <v>63</v>
      </c>
      <c r="H54" t="s">
        <v>116</v>
      </c>
    </row>
    <row r="55" spans="1:8" x14ac:dyDescent="0.3">
      <c r="A55" t="s">
        <v>129</v>
      </c>
      <c r="B55" t="s">
        <v>28</v>
      </c>
      <c r="C55" t="s">
        <v>41</v>
      </c>
      <c r="D55" t="s">
        <v>76</v>
      </c>
      <c r="E55" t="s">
        <v>130</v>
      </c>
      <c r="F55">
        <v>55920</v>
      </c>
      <c r="G55">
        <v>84</v>
      </c>
      <c r="H55" t="s">
        <v>51</v>
      </c>
    </row>
    <row r="56" spans="1:8" x14ac:dyDescent="0.3">
      <c r="A56" t="s">
        <v>131</v>
      </c>
      <c r="B56" t="s">
        <v>9</v>
      </c>
      <c r="C56" t="s">
        <v>32</v>
      </c>
      <c r="D56" t="s">
        <v>44</v>
      </c>
      <c r="E56" s="2">
        <v>43464</v>
      </c>
      <c r="F56">
        <v>80189</v>
      </c>
      <c r="G56">
        <v>30</v>
      </c>
      <c r="H56" t="s">
        <v>45</v>
      </c>
    </row>
    <row r="57" spans="1:8" x14ac:dyDescent="0.3">
      <c r="A57" t="s">
        <v>132</v>
      </c>
      <c r="B57" t="s">
        <v>9</v>
      </c>
      <c r="C57" t="s">
        <v>133</v>
      </c>
      <c r="D57" t="s">
        <v>97</v>
      </c>
      <c r="E57" s="2">
        <v>44189</v>
      </c>
      <c r="F57">
        <v>118947</v>
      </c>
      <c r="G57">
        <v>96</v>
      </c>
      <c r="H57" t="s">
        <v>12</v>
      </c>
    </row>
    <row r="58" spans="1:8" x14ac:dyDescent="0.3">
      <c r="A58" t="s">
        <v>134</v>
      </c>
      <c r="B58" t="s">
        <v>53</v>
      </c>
      <c r="C58" t="s">
        <v>135</v>
      </c>
      <c r="D58" t="s">
        <v>11</v>
      </c>
      <c r="E58" s="2">
        <v>45112</v>
      </c>
      <c r="G58">
        <v>54</v>
      </c>
      <c r="H58" t="s">
        <v>51</v>
      </c>
    </row>
    <row r="59" spans="1:8" x14ac:dyDescent="0.3">
      <c r="A59" t="s">
        <v>136</v>
      </c>
      <c r="B59" t="s">
        <v>28</v>
      </c>
      <c r="C59" t="s">
        <v>133</v>
      </c>
      <c r="D59" t="s">
        <v>37</v>
      </c>
      <c r="E59" s="2">
        <v>44148</v>
      </c>
      <c r="G59">
        <v>75</v>
      </c>
      <c r="H59" t="s">
        <v>51</v>
      </c>
    </row>
    <row r="60" spans="1:8" x14ac:dyDescent="0.3">
      <c r="A60" t="s">
        <v>137</v>
      </c>
      <c r="B60" t="s">
        <v>113</v>
      </c>
      <c r="C60" t="s">
        <v>25</v>
      </c>
      <c r="D60" t="s">
        <v>138</v>
      </c>
      <c r="E60" t="s">
        <v>139</v>
      </c>
      <c r="F60">
        <v>91655</v>
      </c>
      <c r="G60">
        <v>95</v>
      </c>
      <c r="H60" t="s">
        <v>45</v>
      </c>
    </row>
    <row r="61" spans="1:8" x14ac:dyDescent="0.3">
      <c r="A61" t="s">
        <v>140</v>
      </c>
      <c r="B61" t="s">
        <v>9</v>
      </c>
      <c r="C61" t="s">
        <v>10</v>
      </c>
      <c r="D61" t="s">
        <v>11</v>
      </c>
      <c r="E61" s="2">
        <v>45255</v>
      </c>
      <c r="F61">
        <v>49435</v>
      </c>
      <c r="H61" t="s">
        <v>108</v>
      </c>
    </row>
    <row r="62" spans="1:8" x14ac:dyDescent="0.3">
      <c r="A62" t="s">
        <v>141</v>
      </c>
      <c r="B62" t="s">
        <v>9</v>
      </c>
      <c r="C62" t="s">
        <v>36</v>
      </c>
      <c r="D62" t="s">
        <v>48</v>
      </c>
      <c r="E62" s="2">
        <v>45217</v>
      </c>
      <c r="F62">
        <v>110381</v>
      </c>
      <c r="G62">
        <v>93</v>
      </c>
      <c r="H62" t="s">
        <v>45</v>
      </c>
    </row>
    <row r="63" spans="1:8" x14ac:dyDescent="0.3">
      <c r="A63" t="s">
        <v>142</v>
      </c>
      <c r="B63" t="s">
        <v>43</v>
      </c>
      <c r="C63" t="s">
        <v>135</v>
      </c>
      <c r="D63" t="s">
        <v>97</v>
      </c>
      <c r="E63" s="2">
        <v>44079</v>
      </c>
      <c r="F63">
        <v>114748</v>
      </c>
      <c r="G63">
        <v>33</v>
      </c>
      <c r="H63" t="s">
        <v>12</v>
      </c>
    </row>
    <row r="64" spans="1:8" x14ac:dyDescent="0.3">
      <c r="A64" t="s">
        <v>143</v>
      </c>
      <c r="B64" t="s">
        <v>59</v>
      </c>
      <c r="C64" t="s">
        <v>32</v>
      </c>
      <c r="D64" t="s">
        <v>33</v>
      </c>
      <c r="E64" s="2">
        <v>42800</v>
      </c>
      <c r="F64">
        <v>63302</v>
      </c>
      <c r="G64">
        <v>91</v>
      </c>
      <c r="H64" t="s">
        <v>12</v>
      </c>
    </row>
    <row r="65" spans="1:8" x14ac:dyDescent="0.3">
      <c r="A65" t="s">
        <v>144</v>
      </c>
      <c r="B65" t="s">
        <v>59</v>
      </c>
      <c r="C65" t="s">
        <v>47</v>
      </c>
      <c r="D65" t="s">
        <v>84</v>
      </c>
      <c r="E65" s="2">
        <v>42122</v>
      </c>
      <c r="F65" t="s">
        <v>145</v>
      </c>
      <c r="G65">
        <v>64</v>
      </c>
      <c r="H65" t="s">
        <v>12</v>
      </c>
    </row>
    <row r="66" spans="1:8" x14ac:dyDescent="0.3">
      <c r="A66" t="s">
        <v>146</v>
      </c>
      <c r="B66" t="s">
        <v>53</v>
      </c>
      <c r="C66" t="s">
        <v>64</v>
      </c>
      <c r="D66" t="s">
        <v>76</v>
      </c>
      <c r="E66" s="2">
        <v>42838</v>
      </c>
      <c r="F66">
        <v>103891</v>
      </c>
      <c r="G66">
        <v>80</v>
      </c>
      <c r="H66" t="s">
        <v>12</v>
      </c>
    </row>
    <row r="67" spans="1:8" x14ac:dyDescent="0.3">
      <c r="A67" t="s">
        <v>147</v>
      </c>
      <c r="B67" t="s">
        <v>28</v>
      </c>
      <c r="C67" t="s">
        <v>64</v>
      </c>
      <c r="D67" t="s">
        <v>33</v>
      </c>
      <c r="E67" s="2">
        <v>44827</v>
      </c>
      <c r="G67">
        <v>46</v>
      </c>
      <c r="H67" t="s">
        <v>22</v>
      </c>
    </row>
    <row r="68" spans="1:8" x14ac:dyDescent="0.3">
      <c r="A68" t="s">
        <v>148</v>
      </c>
      <c r="B68" t="s">
        <v>28</v>
      </c>
      <c r="C68" t="s">
        <v>60</v>
      </c>
      <c r="D68" t="s">
        <v>61</v>
      </c>
      <c r="E68" t="s">
        <v>149</v>
      </c>
      <c r="F68" t="s">
        <v>150</v>
      </c>
      <c r="G68">
        <v>99</v>
      </c>
      <c r="H68" t="s">
        <v>12</v>
      </c>
    </row>
    <row r="69" spans="1:8" x14ac:dyDescent="0.3">
      <c r="A69" t="s">
        <v>151</v>
      </c>
      <c r="B69" t="s">
        <v>43</v>
      </c>
      <c r="C69" t="s">
        <v>47</v>
      </c>
      <c r="D69" t="s">
        <v>79</v>
      </c>
      <c r="E69" t="s">
        <v>152</v>
      </c>
      <c r="F69" t="s">
        <v>153</v>
      </c>
      <c r="H69" t="s">
        <v>51</v>
      </c>
    </row>
    <row r="70" spans="1:8" x14ac:dyDescent="0.3">
      <c r="A70" t="s">
        <v>154</v>
      </c>
      <c r="B70" t="s">
        <v>14</v>
      </c>
      <c r="C70" t="s">
        <v>19</v>
      </c>
      <c r="D70" t="s">
        <v>97</v>
      </c>
      <c r="E70" t="s">
        <v>155</v>
      </c>
      <c r="F70">
        <v>51567</v>
      </c>
      <c r="G70">
        <v>87</v>
      </c>
      <c r="H70" t="s">
        <v>116</v>
      </c>
    </row>
    <row r="71" spans="1:8" x14ac:dyDescent="0.3">
      <c r="A71" t="s">
        <v>156</v>
      </c>
      <c r="B71" t="s">
        <v>105</v>
      </c>
      <c r="C71" t="s">
        <v>54</v>
      </c>
      <c r="D71" t="s">
        <v>157</v>
      </c>
      <c r="E71" s="2">
        <v>44402</v>
      </c>
      <c r="G71">
        <v>36</v>
      </c>
      <c r="H71" t="s">
        <v>45</v>
      </c>
    </row>
    <row r="72" spans="1:8" x14ac:dyDescent="0.3">
      <c r="A72" t="s">
        <v>158</v>
      </c>
      <c r="B72" t="s">
        <v>59</v>
      </c>
      <c r="C72" t="s">
        <v>47</v>
      </c>
      <c r="D72" t="s">
        <v>97</v>
      </c>
      <c r="E72" s="2">
        <v>43008</v>
      </c>
      <c r="F72">
        <v>55270</v>
      </c>
      <c r="G72">
        <v>87</v>
      </c>
      <c r="H72" t="s">
        <v>51</v>
      </c>
    </row>
    <row r="73" spans="1:8" x14ac:dyDescent="0.3">
      <c r="A73" t="s">
        <v>159</v>
      </c>
      <c r="B73" t="s">
        <v>160</v>
      </c>
      <c r="C73" t="s">
        <v>133</v>
      </c>
      <c r="D73" t="s">
        <v>44</v>
      </c>
      <c r="E73" s="2">
        <v>42192</v>
      </c>
      <c r="F73">
        <v>65235</v>
      </c>
      <c r="G73">
        <v>97</v>
      </c>
      <c r="H73" t="s">
        <v>17</v>
      </c>
    </row>
    <row r="74" spans="1:8" x14ac:dyDescent="0.3">
      <c r="A74" t="s">
        <v>161</v>
      </c>
      <c r="B74" t="s">
        <v>24</v>
      </c>
      <c r="C74" t="s">
        <v>19</v>
      </c>
      <c r="D74" t="s">
        <v>44</v>
      </c>
      <c r="E74" s="2">
        <v>43283</v>
      </c>
      <c r="G74">
        <v>72</v>
      </c>
      <c r="H74" t="s">
        <v>22</v>
      </c>
    </row>
    <row r="75" spans="1:8" x14ac:dyDescent="0.3">
      <c r="A75" t="s">
        <v>162</v>
      </c>
      <c r="B75" t="s">
        <v>66</v>
      </c>
      <c r="C75" t="s">
        <v>19</v>
      </c>
      <c r="D75" t="s">
        <v>48</v>
      </c>
      <c r="E75" s="2">
        <v>44819</v>
      </c>
      <c r="G75">
        <v>65</v>
      </c>
      <c r="H75" t="s">
        <v>22</v>
      </c>
    </row>
    <row r="76" spans="1:8" x14ac:dyDescent="0.3">
      <c r="A76" t="s">
        <v>143</v>
      </c>
      <c r="B76" t="s">
        <v>59</v>
      </c>
      <c r="C76" t="s">
        <v>32</v>
      </c>
      <c r="D76" t="s">
        <v>33</v>
      </c>
      <c r="E76" s="2">
        <v>42800</v>
      </c>
      <c r="F76">
        <v>63302</v>
      </c>
      <c r="G76">
        <v>91</v>
      </c>
      <c r="H76" t="s">
        <v>12</v>
      </c>
    </row>
    <row r="77" spans="1:8" x14ac:dyDescent="0.3">
      <c r="A77" t="s">
        <v>163</v>
      </c>
      <c r="B77" t="s">
        <v>53</v>
      </c>
      <c r="C77" t="s">
        <v>19</v>
      </c>
      <c r="D77" t="s">
        <v>79</v>
      </c>
      <c r="E77" s="2">
        <v>42249</v>
      </c>
      <c r="G77">
        <v>67</v>
      </c>
      <c r="H77" t="s">
        <v>51</v>
      </c>
    </row>
    <row r="78" spans="1:8" x14ac:dyDescent="0.3">
      <c r="A78" t="s">
        <v>164</v>
      </c>
      <c r="B78" t="s">
        <v>113</v>
      </c>
      <c r="C78" t="s">
        <v>36</v>
      </c>
      <c r="D78" t="s">
        <v>165</v>
      </c>
      <c r="E78" t="s">
        <v>166</v>
      </c>
      <c r="F78">
        <v>48823</v>
      </c>
      <c r="G78">
        <v>34</v>
      </c>
      <c r="H78" t="s">
        <v>17</v>
      </c>
    </row>
    <row r="79" spans="1:8" x14ac:dyDescent="0.3">
      <c r="A79" t="s">
        <v>167</v>
      </c>
      <c r="B79" t="s">
        <v>53</v>
      </c>
      <c r="C79" t="s">
        <v>19</v>
      </c>
      <c r="D79" t="s">
        <v>76</v>
      </c>
      <c r="E79" s="2">
        <v>43575</v>
      </c>
      <c r="F79">
        <v>45196</v>
      </c>
      <c r="G79">
        <v>78</v>
      </c>
      <c r="H79" t="s">
        <v>22</v>
      </c>
    </row>
    <row r="80" spans="1:8" x14ac:dyDescent="0.3">
      <c r="A80" t="s">
        <v>168</v>
      </c>
      <c r="B80" t="s">
        <v>53</v>
      </c>
      <c r="C80" t="s">
        <v>41</v>
      </c>
      <c r="D80" t="s">
        <v>11</v>
      </c>
      <c r="E80" t="s">
        <v>169</v>
      </c>
      <c r="F80" t="s">
        <v>170</v>
      </c>
      <c r="G80">
        <v>61</v>
      </c>
      <c r="H80" t="s">
        <v>51</v>
      </c>
    </row>
    <row r="81" spans="1:8" x14ac:dyDescent="0.3">
      <c r="A81" t="s">
        <v>171</v>
      </c>
      <c r="B81" t="s">
        <v>9</v>
      </c>
      <c r="C81" t="s">
        <v>47</v>
      </c>
      <c r="D81" t="s">
        <v>44</v>
      </c>
      <c r="E81" t="s">
        <v>172</v>
      </c>
      <c r="F81">
        <v>70359</v>
      </c>
      <c r="G81">
        <v>74</v>
      </c>
      <c r="H81" t="s">
        <v>30</v>
      </c>
    </row>
    <row r="82" spans="1:8" x14ac:dyDescent="0.3">
      <c r="A82" t="s">
        <v>173</v>
      </c>
      <c r="B82" t="s">
        <v>94</v>
      </c>
      <c r="C82" t="s">
        <v>47</v>
      </c>
      <c r="D82" t="s">
        <v>61</v>
      </c>
      <c r="E82" s="2">
        <v>43599</v>
      </c>
      <c r="G82">
        <v>94</v>
      </c>
      <c r="H82" t="s">
        <v>17</v>
      </c>
    </row>
    <row r="83" spans="1:8" x14ac:dyDescent="0.3">
      <c r="A83" t="s">
        <v>90</v>
      </c>
      <c r="B83" t="s">
        <v>28</v>
      </c>
      <c r="C83" t="s">
        <v>15</v>
      </c>
      <c r="D83" t="s">
        <v>33</v>
      </c>
      <c r="E83" t="s">
        <v>91</v>
      </c>
      <c r="F83">
        <v>97055</v>
      </c>
      <c r="G83">
        <v>80</v>
      </c>
      <c r="H83" t="s">
        <v>51</v>
      </c>
    </row>
    <row r="84" spans="1:8" x14ac:dyDescent="0.3">
      <c r="A84" t="s">
        <v>174</v>
      </c>
      <c r="B84" t="s">
        <v>39</v>
      </c>
      <c r="C84" t="s">
        <v>133</v>
      </c>
      <c r="D84" t="s">
        <v>37</v>
      </c>
      <c r="E84" s="2">
        <v>42330</v>
      </c>
      <c r="F84">
        <v>86480</v>
      </c>
      <c r="H84" t="s">
        <v>17</v>
      </c>
    </row>
    <row r="85" spans="1:8" x14ac:dyDescent="0.3">
      <c r="A85" t="s">
        <v>175</v>
      </c>
      <c r="B85" t="s">
        <v>14</v>
      </c>
      <c r="C85" t="s">
        <v>29</v>
      </c>
      <c r="D85" t="s">
        <v>138</v>
      </c>
      <c r="E85" t="s">
        <v>176</v>
      </c>
      <c r="F85" t="s">
        <v>177</v>
      </c>
      <c r="G85">
        <v>75</v>
      </c>
      <c r="H85" t="s">
        <v>17</v>
      </c>
    </row>
    <row r="86" spans="1:8" x14ac:dyDescent="0.3">
      <c r="A86" t="s">
        <v>178</v>
      </c>
      <c r="B86" t="s">
        <v>105</v>
      </c>
      <c r="C86" t="s">
        <v>36</v>
      </c>
      <c r="D86" t="s">
        <v>11</v>
      </c>
      <c r="E86" s="2">
        <v>45171</v>
      </c>
      <c r="F86">
        <v>83724</v>
      </c>
      <c r="G86">
        <v>81</v>
      </c>
      <c r="H86" t="s">
        <v>116</v>
      </c>
    </row>
    <row r="87" spans="1:8" x14ac:dyDescent="0.3">
      <c r="A87" t="s">
        <v>179</v>
      </c>
      <c r="B87" t="s">
        <v>28</v>
      </c>
      <c r="C87" t="s">
        <v>54</v>
      </c>
      <c r="D87" t="s">
        <v>76</v>
      </c>
      <c r="E87" s="2">
        <v>44759</v>
      </c>
      <c r="F87">
        <v>98299</v>
      </c>
      <c r="G87">
        <v>61</v>
      </c>
      <c r="H87" t="s">
        <v>51</v>
      </c>
    </row>
    <row r="88" spans="1:8" x14ac:dyDescent="0.3">
      <c r="A88" t="s">
        <v>180</v>
      </c>
      <c r="B88" t="s">
        <v>113</v>
      </c>
      <c r="C88" t="s">
        <v>54</v>
      </c>
      <c r="D88" t="s">
        <v>26</v>
      </c>
      <c r="E88" t="s">
        <v>181</v>
      </c>
      <c r="G88">
        <v>68</v>
      </c>
      <c r="H88" t="s">
        <v>51</v>
      </c>
    </row>
    <row r="89" spans="1:8" x14ac:dyDescent="0.3">
      <c r="A89" t="s">
        <v>182</v>
      </c>
      <c r="B89" t="s">
        <v>24</v>
      </c>
      <c r="C89" t="s">
        <v>32</v>
      </c>
      <c r="D89" t="s">
        <v>84</v>
      </c>
      <c r="E89" t="s">
        <v>183</v>
      </c>
      <c r="F89">
        <v>52287</v>
      </c>
      <c r="G89">
        <v>70</v>
      </c>
      <c r="H89" t="s">
        <v>12</v>
      </c>
    </row>
    <row r="90" spans="1:8" x14ac:dyDescent="0.3">
      <c r="A90" t="s">
        <v>184</v>
      </c>
      <c r="B90" t="s">
        <v>14</v>
      </c>
      <c r="C90" t="s">
        <v>19</v>
      </c>
      <c r="D90" t="s">
        <v>11</v>
      </c>
      <c r="E90" s="2">
        <v>44073</v>
      </c>
      <c r="F90">
        <v>82633</v>
      </c>
      <c r="G90">
        <v>98</v>
      </c>
      <c r="H90" t="s">
        <v>17</v>
      </c>
    </row>
    <row r="91" spans="1:8" x14ac:dyDescent="0.3">
      <c r="A91" t="s">
        <v>185</v>
      </c>
      <c r="B91" t="s">
        <v>105</v>
      </c>
      <c r="C91" t="s">
        <v>135</v>
      </c>
      <c r="D91" t="s">
        <v>37</v>
      </c>
      <c r="E91" s="2">
        <v>44422</v>
      </c>
      <c r="F91">
        <v>46508</v>
      </c>
      <c r="G91">
        <v>34</v>
      </c>
      <c r="H91" t="s">
        <v>45</v>
      </c>
    </row>
    <row r="92" spans="1:8" x14ac:dyDescent="0.3">
      <c r="A92" t="s">
        <v>186</v>
      </c>
      <c r="B92" t="s">
        <v>9</v>
      </c>
      <c r="C92" t="s">
        <v>19</v>
      </c>
      <c r="D92" t="s">
        <v>138</v>
      </c>
      <c r="E92" t="s">
        <v>187</v>
      </c>
      <c r="F92">
        <v>86232</v>
      </c>
      <c r="G92">
        <v>93</v>
      </c>
      <c r="H92" t="s">
        <v>45</v>
      </c>
    </row>
    <row r="93" spans="1:8" x14ac:dyDescent="0.3">
      <c r="A93" t="s">
        <v>188</v>
      </c>
      <c r="B93" t="s">
        <v>53</v>
      </c>
      <c r="C93" t="s">
        <v>64</v>
      </c>
      <c r="D93" t="s">
        <v>84</v>
      </c>
      <c r="E93" t="s">
        <v>189</v>
      </c>
      <c r="F93" t="s">
        <v>190</v>
      </c>
      <c r="G93">
        <v>48</v>
      </c>
      <c r="H93" t="s">
        <v>45</v>
      </c>
    </row>
    <row r="94" spans="1:8" x14ac:dyDescent="0.3">
      <c r="A94" t="s">
        <v>191</v>
      </c>
      <c r="B94" t="s">
        <v>160</v>
      </c>
      <c r="C94" t="s">
        <v>19</v>
      </c>
      <c r="D94" t="s">
        <v>37</v>
      </c>
      <c r="E94" s="2">
        <v>43436</v>
      </c>
      <c r="F94">
        <v>68683</v>
      </c>
      <c r="G94">
        <v>90</v>
      </c>
      <c r="H94" t="s">
        <v>51</v>
      </c>
    </row>
    <row r="95" spans="1:8" x14ac:dyDescent="0.3">
      <c r="A95" t="s">
        <v>192</v>
      </c>
      <c r="B95" t="s">
        <v>28</v>
      </c>
      <c r="C95" t="s">
        <v>60</v>
      </c>
      <c r="D95" t="s">
        <v>26</v>
      </c>
      <c r="E95" s="2">
        <v>43639</v>
      </c>
      <c r="F95">
        <v>83932</v>
      </c>
      <c r="G95">
        <v>57</v>
      </c>
      <c r="H95" t="s">
        <v>22</v>
      </c>
    </row>
    <row r="96" spans="1:8" x14ac:dyDescent="0.3">
      <c r="A96" t="s">
        <v>193</v>
      </c>
      <c r="B96" t="s">
        <v>39</v>
      </c>
      <c r="C96" t="s">
        <v>135</v>
      </c>
      <c r="D96" t="s">
        <v>97</v>
      </c>
      <c r="E96" s="2">
        <v>42304</v>
      </c>
      <c r="F96">
        <v>56073</v>
      </c>
      <c r="G96">
        <v>79</v>
      </c>
      <c r="H96" t="s">
        <v>45</v>
      </c>
    </row>
    <row r="97" spans="1:8" x14ac:dyDescent="0.3">
      <c r="A97" t="s">
        <v>194</v>
      </c>
      <c r="B97" t="s">
        <v>105</v>
      </c>
      <c r="C97" t="s">
        <v>32</v>
      </c>
      <c r="D97" t="s">
        <v>20</v>
      </c>
      <c r="E97" s="2">
        <v>43270</v>
      </c>
      <c r="F97" t="s">
        <v>195</v>
      </c>
      <c r="G97">
        <v>66</v>
      </c>
      <c r="H97" t="s">
        <v>51</v>
      </c>
    </row>
    <row r="98" spans="1:8" x14ac:dyDescent="0.3">
      <c r="A98" t="s">
        <v>196</v>
      </c>
      <c r="B98" t="s">
        <v>28</v>
      </c>
      <c r="C98" t="s">
        <v>47</v>
      </c>
      <c r="D98" t="s">
        <v>165</v>
      </c>
      <c r="E98" s="2">
        <v>43112</v>
      </c>
      <c r="F98">
        <v>67414</v>
      </c>
      <c r="G98">
        <v>84</v>
      </c>
      <c r="H98" t="s">
        <v>30</v>
      </c>
    </row>
    <row r="99" spans="1:8" x14ac:dyDescent="0.3">
      <c r="A99" t="s">
        <v>197</v>
      </c>
      <c r="B99" t="s">
        <v>160</v>
      </c>
      <c r="C99" t="s">
        <v>19</v>
      </c>
      <c r="D99" t="s">
        <v>44</v>
      </c>
      <c r="E99" s="2">
        <v>42008</v>
      </c>
      <c r="F99" t="s">
        <v>198</v>
      </c>
      <c r="G99">
        <v>61</v>
      </c>
      <c r="H99" t="s">
        <v>51</v>
      </c>
    </row>
    <row r="100" spans="1:8" x14ac:dyDescent="0.3">
      <c r="A100" t="s">
        <v>199</v>
      </c>
      <c r="C100" t="s">
        <v>29</v>
      </c>
      <c r="D100" t="s">
        <v>44</v>
      </c>
      <c r="E100" s="2">
        <v>43439</v>
      </c>
      <c r="F100">
        <v>80140</v>
      </c>
      <c r="G100">
        <v>58</v>
      </c>
      <c r="H100" t="s">
        <v>45</v>
      </c>
    </row>
    <row r="101" spans="1:8" x14ac:dyDescent="0.3">
      <c r="A101" t="s">
        <v>200</v>
      </c>
      <c r="B101" t="s">
        <v>24</v>
      </c>
      <c r="C101" t="s">
        <v>32</v>
      </c>
      <c r="D101" t="s">
        <v>11</v>
      </c>
      <c r="E101" s="2">
        <v>44482</v>
      </c>
      <c r="F101">
        <v>73087</v>
      </c>
      <c r="G101">
        <v>69</v>
      </c>
      <c r="H101" t="s">
        <v>51</v>
      </c>
    </row>
    <row r="102" spans="1:8" x14ac:dyDescent="0.3">
      <c r="A102" t="s">
        <v>201</v>
      </c>
      <c r="B102" t="s">
        <v>53</v>
      </c>
      <c r="C102" t="s">
        <v>32</v>
      </c>
      <c r="D102" t="s">
        <v>79</v>
      </c>
      <c r="E102" s="2">
        <v>44081</v>
      </c>
      <c r="F102">
        <v>95292</v>
      </c>
      <c r="G102">
        <v>34</v>
      </c>
      <c r="H102" t="s">
        <v>12</v>
      </c>
    </row>
    <row r="103" spans="1:8" x14ac:dyDescent="0.3">
      <c r="A103" t="s">
        <v>202</v>
      </c>
      <c r="B103" t="s">
        <v>24</v>
      </c>
      <c r="C103" t="s">
        <v>60</v>
      </c>
      <c r="D103" t="s">
        <v>20</v>
      </c>
      <c r="E103" t="s">
        <v>203</v>
      </c>
      <c r="G103">
        <v>33</v>
      </c>
      <c r="H103" t="s">
        <v>12</v>
      </c>
    </row>
    <row r="104" spans="1:8" x14ac:dyDescent="0.3">
      <c r="A104" t="s">
        <v>204</v>
      </c>
      <c r="B104" t="s">
        <v>53</v>
      </c>
      <c r="C104" t="s">
        <v>69</v>
      </c>
      <c r="D104" t="s">
        <v>16</v>
      </c>
      <c r="E104" t="s">
        <v>205</v>
      </c>
      <c r="F104">
        <v>101750</v>
      </c>
      <c r="G104">
        <v>84</v>
      </c>
      <c r="H104" t="s">
        <v>108</v>
      </c>
    </row>
    <row r="105" spans="1:8" x14ac:dyDescent="0.3">
      <c r="A105" t="s">
        <v>206</v>
      </c>
      <c r="B105" t="s">
        <v>105</v>
      </c>
      <c r="C105" t="s">
        <v>19</v>
      </c>
      <c r="D105" t="s">
        <v>55</v>
      </c>
      <c r="E105" t="s">
        <v>207</v>
      </c>
      <c r="F105">
        <v>82992</v>
      </c>
      <c r="G105">
        <v>79</v>
      </c>
      <c r="H105" t="s">
        <v>51</v>
      </c>
    </row>
    <row r="106" spans="1:8" x14ac:dyDescent="0.3">
      <c r="A106" t="s">
        <v>208</v>
      </c>
      <c r="B106" t="s">
        <v>160</v>
      </c>
      <c r="C106" t="s">
        <v>64</v>
      </c>
      <c r="D106" t="s">
        <v>11</v>
      </c>
      <c r="E106" s="2">
        <v>45055</v>
      </c>
      <c r="F106" t="s">
        <v>209</v>
      </c>
      <c r="G106">
        <v>51</v>
      </c>
      <c r="H106" t="s">
        <v>12</v>
      </c>
    </row>
    <row r="107" spans="1:8" x14ac:dyDescent="0.3">
      <c r="A107" t="s">
        <v>210</v>
      </c>
      <c r="B107" t="s">
        <v>24</v>
      </c>
      <c r="C107" t="s">
        <v>29</v>
      </c>
      <c r="D107" t="s">
        <v>37</v>
      </c>
      <c r="E107" s="2">
        <v>43122</v>
      </c>
      <c r="F107">
        <v>89060</v>
      </c>
      <c r="G107">
        <v>58</v>
      </c>
      <c r="H107" t="s">
        <v>12</v>
      </c>
    </row>
    <row r="108" spans="1:8" x14ac:dyDescent="0.3">
      <c r="A108" t="s">
        <v>211</v>
      </c>
      <c r="B108" t="s">
        <v>66</v>
      </c>
      <c r="C108" t="s">
        <v>19</v>
      </c>
      <c r="D108" t="s">
        <v>11</v>
      </c>
      <c r="E108" s="2">
        <v>43879</v>
      </c>
      <c r="F108">
        <v>53786</v>
      </c>
      <c r="G108">
        <v>98</v>
      </c>
      <c r="H108" t="s">
        <v>45</v>
      </c>
    </row>
    <row r="109" spans="1:8" x14ac:dyDescent="0.3">
      <c r="A109" t="s">
        <v>212</v>
      </c>
      <c r="B109" t="s">
        <v>9</v>
      </c>
      <c r="C109" t="s">
        <v>32</v>
      </c>
      <c r="D109" t="s">
        <v>33</v>
      </c>
      <c r="E109" t="s">
        <v>213</v>
      </c>
      <c r="F109">
        <v>81167</v>
      </c>
      <c r="H109" t="s">
        <v>45</v>
      </c>
    </row>
    <row r="110" spans="1:8" x14ac:dyDescent="0.3">
      <c r="A110" t="s">
        <v>214</v>
      </c>
      <c r="B110" t="s">
        <v>160</v>
      </c>
      <c r="C110" t="s">
        <v>54</v>
      </c>
      <c r="D110" t="s">
        <v>16</v>
      </c>
      <c r="E110" s="2">
        <v>44349</v>
      </c>
      <c r="F110">
        <v>66688</v>
      </c>
      <c r="G110">
        <v>40</v>
      </c>
      <c r="H110" t="s">
        <v>108</v>
      </c>
    </row>
    <row r="111" spans="1:8" x14ac:dyDescent="0.3">
      <c r="A111" t="s">
        <v>215</v>
      </c>
      <c r="B111" t="s">
        <v>66</v>
      </c>
      <c r="C111" t="s">
        <v>60</v>
      </c>
      <c r="D111" t="s">
        <v>11</v>
      </c>
      <c r="E111" s="2">
        <v>44394</v>
      </c>
      <c r="F111">
        <v>91672</v>
      </c>
      <c r="G111">
        <v>88</v>
      </c>
      <c r="H111" t="s">
        <v>17</v>
      </c>
    </row>
    <row r="112" spans="1:8" x14ac:dyDescent="0.3">
      <c r="A112" t="s">
        <v>216</v>
      </c>
      <c r="B112" t="s">
        <v>39</v>
      </c>
      <c r="C112" t="s">
        <v>19</v>
      </c>
      <c r="D112" t="s">
        <v>157</v>
      </c>
      <c r="E112" t="s">
        <v>217</v>
      </c>
      <c r="F112" t="s">
        <v>218</v>
      </c>
      <c r="G112">
        <v>77</v>
      </c>
      <c r="H112" t="s">
        <v>12</v>
      </c>
    </row>
    <row r="113" spans="1:8" x14ac:dyDescent="0.3">
      <c r="A113" t="s">
        <v>219</v>
      </c>
      <c r="B113" t="s">
        <v>94</v>
      </c>
      <c r="C113" t="s">
        <v>47</v>
      </c>
      <c r="D113" t="s">
        <v>79</v>
      </c>
      <c r="E113" s="2">
        <v>43513</v>
      </c>
      <c r="F113" t="s">
        <v>220</v>
      </c>
      <c r="G113">
        <v>91</v>
      </c>
      <c r="H113" t="s">
        <v>12</v>
      </c>
    </row>
    <row r="114" spans="1:8" x14ac:dyDescent="0.3">
      <c r="A114" t="s">
        <v>221</v>
      </c>
      <c r="B114" t="s">
        <v>39</v>
      </c>
      <c r="C114" t="s">
        <v>29</v>
      </c>
      <c r="D114" t="s">
        <v>44</v>
      </c>
      <c r="E114" s="2">
        <v>42625</v>
      </c>
      <c r="F114">
        <v>114681</v>
      </c>
      <c r="G114">
        <v>36</v>
      </c>
      <c r="H114" t="s">
        <v>17</v>
      </c>
    </row>
    <row r="115" spans="1:8" x14ac:dyDescent="0.3">
      <c r="A115" t="s">
        <v>222</v>
      </c>
      <c r="B115" t="s">
        <v>28</v>
      </c>
      <c r="C115" t="s">
        <v>60</v>
      </c>
      <c r="D115" t="s">
        <v>37</v>
      </c>
      <c r="E115" t="s">
        <v>223</v>
      </c>
      <c r="F115" t="s">
        <v>224</v>
      </c>
      <c r="G115">
        <v>72</v>
      </c>
      <c r="H115" t="s">
        <v>45</v>
      </c>
    </row>
    <row r="116" spans="1:8" x14ac:dyDescent="0.3">
      <c r="A116" t="s">
        <v>225</v>
      </c>
      <c r="B116" t="s">
        <v>71</v>
      </c>
      <c r="C116" t="s">
        <v>10</v>
      </c>
      <c r="D116" t="s">
        <v>16</v>
      </c>
      <c r="E116" s="2">
        <v>43996</v>
      </c>
      <c r="F116" t="s">
        <v>226</v>
      </c>
      <c r="G116">
        <v>87</v>
      </c>
      <c r="H116" t="s">
        <v>12</v>
      </c>
    </row>
    <row r="117" spans="1:8" x14ac:dyDescent="0.3">
      <c r="A117" t="s">
        <v>227</v>
      </c>
      <c r="B117" t="s">
        <v>59</v>
      </c>
      <c r="C117" t="s">
        <v>25</v>
      </c>
      <c r="D117" t="s">
        <v>20</v>
      </c>
      <c r="E117" t="s">
        <v>228</v>
      </c>
      <c r="F117">
        <v>118008</v>
      </c>
      <c r="G117">
        <v>71</v>
      </c>
      <c r="H117" t="s">
        <v>12</v>
      </c>
    </row>
    <row r="118" spans="1:8" x14ac:dyDescent="0.3">
      <c r="A118" t="s">
        <v>229</v>
      </c>
      <c r="B118" t="s">
        <v>28</v>
      </c>
      <c r="C118" t="s">
        <v>47</v>
      </c>
      <c r="D118" t="s">
        <v>11</v>
      </c>
      <c r="E118" t="s">
        <v>230</v>
      </c>
      <c r="F118">
        <v>74370</v>
      </c>
      <c r="G118">
        <v>82</v>
      </c>
      <c r="H118" t="s">
        <v>51</v>
      </c>
    </row>
    <row r="119" spans="1:8" x14ac:dyDescent="0.3">
      <c r="A119" t="s">
        <v>231</v>
      </c>
      <c r="B119" t="s">
        <v>113</v>
      </c>
      <c r="C119" t="s">
        <v>41</v>
      </c>
      <c r="D119" t="s">
        <v>20</v>
      </c>
      <c r="E119" s="2">
        <v>44674</v>
      </c>
      <c r="F119">
        <v>77819</v>
      </c>
      <c r="G119">
        <v>79</v>
      </c>
      <c r="H119" t="s">
        <v>17</v>
      </c>
    </row>
    <row r="120" spans="1:8" x14ac:dyDescent="0.3">
      <c r="A120" t="s">
        <v>232</v>
      </c>
      <c r="B120" t="s">
        <v>53</v>
      </c>
      <c r="C120" t="s">
        <v>47</v>
      </c>
      <c r="D120" t="s">
        <v>61</v>
      </c>
      <c r="E120" t="s">
        <v>233</v>
      </c>
      <c r="F120">
        <v>48748</v>
      </c>
      <c r="G120">
        <v>83</v>
      </c>
      <c r="H120" t="s">
        <v>51</v>
      </c>
    </row>
    <row r="121" spans="1:8" x14ac:dyDescent="0.3">
      <c r="A121" t="s">
        <v>234</v>
      </c>
      <c r="B121" t="s">
        <v>66</v>
      </c>
      <c r="C121" t="s">
        <v>41</v>
      </c>
      <c r="D121" t="s">
        <v>33</v>
      </c>
      <c r="E121" s="2">
        <v>43971</v>
      </c>
      <c r="F121">
        <v>101997</v>
      </c>
      <c r="G121">
        <v>38</v>
      </c>
      <c r="H121" t="s">
        <v>116</v>
      </c>
    </row>
    <row r="122" spans="1:8" x14ac:dyDescent="0.3">
      <c r="A122" t="s">
        <v>235</v>
      </c>
      <c r="B122" t="s">
        <v>94</v>
      </c>
      <c r="C122" t="s">
        <v>41</v>
      </c>
      <c r="D122" t="s">
        <v>97</v>
      </c>
      <c r="E122" t="s">
        <v>236</v>
      </c>
      <c r="F122">
        <v>115260</v>
      </c>
      <c r="G122">
        <v>77</v>
      </c>
      <c r="H122" t="s">
        <v>51</v>
      </c>
    </row>
    <row r="123" spans="1:8" x14ac:dyDescent="0.3">
      <c r="A123" t="s">
        <v>237</v>
      </c>
      <c r="B123" t="s">
        <v>94</v>
      </c>
      <c r="C123" t="s">
        <v>36</v>
      </c>
      <c r="D123" t="s">
        <v>44</v>
      </c>
      <c r="E123" s="2">
        <v>44500</v>
      </c>
      <c r="G123">
        <v>49</v>
      </c>
      <c r="H123" t="s">
        <v>12</v>
      </c>
    </row>
    <row r="124" spans="1:8" x14ac:dyDescent="0.3">
      <c r="A124" t="s">
        <v>238</v>
      </c>
      <c r="B124" t="s">
        <v>105</v>
      </c>
      <c r="C124" t="s">
        <v>10</v>
      </c>
      <c r="D124" t="s">
        <v>20</v>
      </c>
      <c r="E124" t="s">
        <v>239</v>
      </c>
      <c r="G124">
        <v>69</v>
      </c>
      <c r="H124" t="s">
        <v>108</v>
      </c>
    </row>
    <row r="125" spans="1:8" x14ac:dyDescent="0.3">
      <c r="A125" t="s">
        <v>240</v>
      </c>
      <c r="B125" t="s">
        <v>59</v>
      </c>
      <c r="C125" t="s">
        <v>54</v>
      </c>
      <c r="D125" t="s">
        <v>44</v>
      </c>
      <c r="E125" s="2">
        <v>42956</v>
      </c>
      <c r="G125">
        <v>76</v>
      </c>
      <c r="H125" t="s">
        <v>12</v>
      </c>
    </row>
    <row r="126" spans="1:8" x14ac:dyDescent="0.3">
      <c r="A126" t="s">
        <v>241</v>
      </c>
      <c r="B126" t="s">
        <v>105</v>
      </c>
      <c r="C126" t="s">
        <v>41</v>
      </c>
      <c r="D126" t="s">
        <v>165</v>
      </c>
      <c r="E126" s="2">
        <v>44930</v>
      </c>
      <c r="F126">
        <v>60623</v>
      </c>
      <c r="G126">
        <v>78</v>
      </c>
      <c r="H126" t="s">
        <v>45</v>
      </c>
    </row>
    <row r="127" spans="1:8" x14ac:dyDescent="0.3">
      <c r="A127" t="s">
        <v>242</v>
      </c>
      <c r="B127" t="s">
        <v>66</v>
      </c>
      <c r="C127" t="s">
        <v>32</v>
      </c>
      <c r="D127" t="s">
        <v>157</v>
      </c>
      <c r="E127" t="s">
        <v>243</v>
      </c>
      <c r="F127" t="s">
        <v>244</v>
      </c>
      <c r="G127">
        <v>93</v>
      </c>
      <c r="H127" t="s">
        <v>12</v>
      </c>
    </row>
    <row r="128" spans="1:8" x14ac:dyDescent="0.3">
      <c r="A128" t="s">
        <v>245</v>
      </c>
      <c r="B128" t="s">
        <v>43</v>
      </c>
      <c r="C128" t="s">
        <v>36</v>
      </c>
      <c r="D128" t="s">
        <v>16</v>
      </c>
      <c r="E128" s="2">
        <v>44653</v>
      </c>
      <c r="F128">
        <v>88155</v>
      </c>
      <c r="G128">
        <v>68</v>
      </c>
      <c r="H128" t="s">
        <v>45</v>
      </c>
    </row>
    <row r="129" spans="1:8" x14ac:dyDescent="0.3">
      <c r="A129" t="s">
        <v>246</v>
      </c>
      <c r="B129" t="s">
        <v>160</v>
      </c>
      <c r="C129" t="s">
        <v>60</v>
      </c>
      <c r="D129" t="s">
        <v>16</v>
      </c>
      <c r="E129" t="s">
        <v>247</v>
      </c>
      <c r="F129">
        <v>107903</v>
      </c>
      <c r="G129">
        <v>42</v>
      </c>
      <c r="H129" t="s">
        <v>17</v>
      </c>
    </row>
    <row r="130" spans="1:8" x14ac:dyDescent="0.3">
      <c r="A130" t="s">
        <v>248</v>
      </c>
      <c r="B130" t="s">
        <v>160</v>
      </c>
      <c r="C130" t="s">
        <v>54</v>
      </c>
      <c r="D130" t="s">
        <v>11</v>
      </c>
      <c r="E130" s="2">
        <v>43305</v>
      </c>
      <c r="F130">
        <v>62818</v>
      </c>
      <c r="G130">
        <v>34</v>
      </c>
      <c r="H130" t="s">
        <v>17</v>
      </c>
    </row>
    <row r="131" spans="1:8" x14ac:dyDescent="0.3">
      <c r="A131" t="s">
        <v>249</v>
      </c>
      <c r="B131" t="s">
        <v>113</v>
      </c>
      <c r="C131" t="s">
        <v>54</v>
      </c>
      <c r="D131" t="s">
        <v>157</v>
      </c>
      <c r="E131" s="2">
        <v>43301</v>
      </c>
      <c r="F131">
        <v>85151</v>
      </c>
      <c r="G131">
        <v>35</v>
      </c>
      <c r="H131" t="s">
        <v>17</v>
      </c>
    </row>
    <row r="132" spans="1:8" x14ac:dyDescent="0.3">
      <c r="A132" t="s">
        <v>250</v>
      </c>
      <c r="B132" t="s">
        <v>53</v>
      </c>
      <c r="C132" t="s">
        <v>64</v>
      </c>
      <c r="D132" t="s">
        <v>76</v>
      </c>
      <c r="E132" t="s">
        <v>251</v>
      </c>
      <c r="F132">
        <v>46390</v>
      </c>
      <c r="G132">
        <v>95</v>
      </c>
      <c r="H132" t="s">
        <v>51</v>
      </c>
    </row>
    <row r="133" spans="1:8" x14ac:dyDescent="0.3">
      <c r="A133" t="s">
        <v>174</v>
      </c>
      <c r="B133" t="s">
        <v>39</v>
      </c>
      <c r="C133" t="s">
        <v>133</v>
      </c>
      <c r="D133" t="s">
        <v>37</v>
      </c>
      <c r="E133" s="2">
        <v>42330</v>
      </c>
      <c r="F133">
        <v>86480</v>
      </c>
      <c r="H133" t="s">
        <v>17</v>
      </c>
    </row>
    <row r="134" spans="1:8" x14ac:dyDescent="0.3">
      <c r="A134" t="s">
        <v>252</v>
      </c>
      <c r="B134" t="s">
        <v>24</v>
      </c>
      <c r="C134" t="s">
        <v>25</v>
      </c>
      <c r="D134" t="s">
        <v>157</v>
      </c>
      <c r="E134" s="2">
        <v>44643</v>
      </c>
      <c r="F134">
        <v>111920</v>
      </c>
      <c r="G134">
        <v>90</v>
      </c>
      <c r="H134" t="s">
        <v>22</v>
      </c>
    </row>
    <row r="135" spans="1:8" x14ac:dyDescent="0.3">
      <c r="A135" t="s">
        <v>253</v>
      </c>
      <c r="B135" t="s">
        <v>113</v>
      </c>
      <c r="C135" t="s">
        <v>135</v>
      </c>
      <c r="D135" t="s">
        <v>138</v>
      </c>
      <c r="E135" t="s">
        <v>254</v>
      </c>
      <c r="F135" t="s">
        <v>255</v>
      </c>
      <c r="G135">
        <v>42</v>
      </c>
      <c r="H135" t="s">
        <v>17</v>
      </c>
    </row>
    <row r="136" spans="1:8" x14ac:dyDescent="0.3">
      <c r="A136" t="s">
        <v>256</v>
      </c>
      <c r="B136" t="s">
        <v>94</v>
      </c>
      <c r="C136" t="s">
        <v>29</v>
      </c>
      <c r="D136" t="s">
        <v>44</v>
      </c>
      <c r="E136" t="s">
        <v>257</v>
      </c>
      <c r="F136" t="s">
        <v>258</v>
      </c>
      <c r="G136">
        <v>88</v>
      </c>
      <c r="H136" t="s">
        <v>116</v>
      </c>
    </row>
    <row r="137" spans="1:8" x14ac:dyDescent="0.3">
      <c r="A137" t="s">
        <v>259</v>
      </c>
      <c r="B137" t="s">
        <v>105</v>
      </c>
      <c r="C137" t="s">
        <v>15</v>
      </c>
      <c r="D137" t="s">
        <v>37</v>
      </c>
      <c r="E137" t="s">
        <v>260</v>
      </c>
      <c r="F137">
        <v>108395</v>
      </c>
      <c r="G137">
        <v>78</v>
      </c>
      <c r="H137" t="s">
        <v>30</v>
      </c>
    </row>
    <row r="138" spans="1:8" x14ac:dyDescent="0.3">
      <c r="A138" t="s">
        <v>261</v>
      </c>
      <c r="B138" t="s">
        <v>105</v>
      </c>
      <c r="C138" t="s">
        <v>32</v>
      </c>
      <c r="D138" t="s">
        <v>26</v>
      </c>
      <c r="E138" s="2">
        <v>43091</v>
      </c>
      <c r="F138">
        <v>88005</v>
      </c>
      <c r="G138">
        <v>69</v>
      </c>
      <c r="H138" t="s">
        <v>51</v>
      </c>
    </row>
    <row r="139" spans="1:8" x14ac:dyDescent="0.3">
      <c r="A139" t="s">
        <v>86</v>
      </c>
      <c r="B139" t="s">
        <v>43</v>
      </c>
      <c r="C139" t="s">
        <v>36</v>
      </c>
      <c r="D139" t="s">
        <v>87</v>
      </c>
      <c r="E139" t="s">
        <v>88</v>
      </c>
      <c r="F139">
        <v>85312</v>
      </c>
      <c r="G139">
        <v>66</v>
      </c>
      <c r="H139" t="s">
        <v>12</v>
      </c>
    </row>
    <row r="140" spans="1:8" x14ac:dyDescent="0.3">
      <c r="A140" t="s">
        <v>262</v>
      </c>
      <c r="B140" t="s">
        <v>53</v>
      </c>
      <c r="C140" t="s">
        <v>133</v>
      </c>
      <c r="D140" t="s">
        <v>61</v>
      </c>
      <c r="E140" t="s">
        <v>263</v>
      </c>
      <c r="F140">
        <v>83007</v>
      </c>
      <c r="G140">
        <v>82</v>
      </c>
      <c r="H140" t="s">
        <v>45</v>
      </c>
    </row>
    <row r="141" spans="1:8" x14ac:dyDescent="0.3">
      <c r="A141" t="s">
        <v>264</v>
      </c>
      <c r="B141" t="s">
        <v>113</v>
      </c>
      <c r="C141" t="s">
        <v>64</v>
      </c>
      <c r="D141" t="s">
        <v>11</v>
      </c>
      <c r="E141" s="2">
        <v>43360</v>
      </c>
      <c r="F141" t="s">
        <v>265</v>
      </c>
      <c r="G141">
        <v>68</v>
      </c>
      <c r="H141" t="s">
        <v>17</v>
      </c>
    </row>
    <row r="142" spans="1:8" x14ac:dyDescent="0.3">
      <c r="A142" t="s">
        <v>266</v>
      </c>
      <c r="B142" t="s">
        <v>66</v>
      </c>
      <c r="C142" t="s">
        <v>36</v>
      </c>
      <c r="D142" t="s">
        <v>48</v>
      </c>
      <c r="E142" s="2">
        <v>44375</v>
      </c>
      <c r="G142">
        <v>52</v>
      </c>
      <c r="H142" t="s">
        <v>45</v>
      </c>
    </row>
    <row r="143" spans="1:8" x14ac:dyDescent="0.3">
      <c r="A143" t="s">
        <v>267</v>
      </c>
      <c r="B143" t="s">
        <v>14</v>
      </c>
      <c r="C143" t="s">
        <v>32</v>
      </c>
      <c r="D143" t="s">
        <v>33</v>
      </c>
      <c r="E143" t="s">
        <v>268</v>
      </c>
      <c r="F143">
        <v>50399</v>
      </c>
      <c r="G143">
        <v>92</v>
      </c>
      <c r="H143" t="s">
        <v>108</v>
      </c>
    </row>
    <row r="144" spans="1:8" x14ac:dyDescent="0.3">
      <c r="A144" t="s">
        <v>269</v>
      </c>
      <c r="B144" t="s">
        <v>14</v>
      </c>
      <c r="C144" t="s">
        <v>54</v>
      </c>
      <c r="D144" t="s">
        <v>26</v>
      </c>
      <c r="E144" t="s">
        <v>270</v>
      </c>
      <c r="G144">
        <v>62</v>
      </c>
      <c r="H144" t="s">
        <v>17</v>
      </c>
    </row>
    <row r="145" spans="1:8" x14ac:dyDescent="0.3">
      <c r="A145" t="s">
        <v>271</v>
      </c>
      <c r="B145" t="s">
        <v>24</v>
      </c>
      <c r="C145" t="s">
        <v>15</v>
      </c>
      <c r="D145" t="s">
        <v>33</v>
      </c>
      <c r="E145" s="2">
        <v>43257</v>
      </c>
      <c r="F145">
        <v>52720</v>
      </c>
      <c r="G145">
        <v>68</v>
      </c>
      <c r="H145" t="s">
        <v>17</v>
      </c>
    </row>
    <row r="146" spans="1:8" x14ac:dyDescent="0.3">
      <c r="A146" t="s">
        <v>272</v>
      </c>
      <c r="B146" t="s">
        <v>94</v>
      </c>
      <c r="C146" t="s">
        <v>19</v>
      </c>
      <c r="D146" t="s">
        <v>33</v>
      </c>
      <c r="E146" s="2">
        <v>42932</v>
      </c>
      <c r="F146">
        <v>65065</v>
      </c>
      <c r="G146">
        <v>98</v>
      </c>
      <c r="H146" t="s">
        <v>45</v>
      </c>
    </row>
    <row r="147" spans="1:8" x14ac:dyDescent="0.3">
      <c r="A147" t="s">
        <v>273</v>
      </c>
      <c r="B147" t="s">
        <v>105</v>
      </c>
      <c r="C147" t="s">
        <v>15</v>
      </c>
      <c r="D147" t="s">
        <v>44</v>
      </c>
      <c r="E147" s="2">
        <v>42175</v>
      </c>
      <c r="G147">
        <v>94</v>
      </c>
      <c r="H147" t="s">
        <v>116</v>
      </c>
    </row>
    <row r="148" spans="1:8" x14ac:dyDescent="0.3">
      <c r="A148" t="s">
        <v>274</v>
      </c>
      <c r="B148" t="s">
        <v>105</v>
      </c>
      <c r="C148" t="s">
        <v>15</v>
      </c>
      <c r="D148" t="s">
        <v>37</v>
      </c>
      <c r="E148" s="2">
        <v>43609</v>
      </c>
      <c r="F148" t="s">
        <v>275</v>
      </c>
      <c r="G148">
        <v>57</v>
      </c>
      <c r="H148" t="s">
        <v>116</v>
      </c>
    </row>
    <row r="149" spans="1:8" x14ac:dyDescent="0.3">
      <c r="A149" t="s">
        <v>276</v>
      </c>
      <c r="B149" t="s">
        <v>24</v>
      </c>
      <c r="C149" t="s">
        <v>64</v>
      </c>
      <c r="D149" t="s">
        <v>84</v>
      </c>
      <c r="E149" s="2">
        <v>43887</v>
      </c>
      <c r="G149">
        <v>96</v>
      </c>
      <c r="H149" t="s">
        <v>12</v>
      </c>
    </row>
    <row r="150" spans="1:8" x14ac:dyDescent="0.3">
      <c r="A150" t="s">
        <v>277</v>
      </c>
      <c r="B150" t="s">
        <v>14</v>
      </c>
      <c r="C150" t="s">
        <v>64</v>
      </c>
      <c r="D150" t="s">
        <v>97</v>
      </c>
      <c r="E150" s="2">
        <v>44991</v>
      </c>
      <c r="F150">
        <v>106896</v>
      </c>
      <c r="G150">
        <v>52</v>
      </c>
      <c r="H150" t="s">
        <v>22</v>
      </c>
    </row>
    <row r="151" spans="1:8" x14ac:dyDescent="0.3">
      <c r="A151" t="s">
        <v>278</v>
      </c>
      <c r="C151" t="s">
        <v>60</v>
      </c>
      <c r="D151" t="s">
        <v>20</v>
      </c>
      <c r="E151" t="s">
        <v>279</v>
      </c>
      <c r="F151">
        <v>112887</v>
      </c>
      <c r="G151">
        <v>59</v>
      </c>
      <c r="H151" t="s">
        <v>51</v>
      </c>
    </row>
    <row r="152" spans="1:8" x14ac:dyDescent="0.3">
      <c r="A152" t="s">
        <v>215</v>
      </c>
      <c r="B152" t="s">
        <v>66</v>
      </c>
      <c r="C152" t="s">
        <v>60</v>
      </c>
      <c r="D152" t="s">
        <v>11</v>
      </c>
      <c r="E152" s="2">
        <v>44394</v>
      </c>
      <c r="F152">
        <v>91672</v>
      </c>
      <c r="G152">
        <v>88</v>
      </c>
      <c r="H152" t="s">
        <v>17</v>
      </c>
    </row>
    <row r="153" spans="1:8" x14ac:dyDescent="0.3">
      <c r="A153" t="s">
        <v>280</v>
      </c>
      <c r="B153" t="s">
        <v>160</v>
      </c>
      <c r="C153" t="s">
        <v>41</v>
      </c>
      <c r="D153" t="s">
        <v>26</v>
      </c>
      <c r="E153" s="2">
        <v>45037</v>
      </c>
      <c r="F153">
        <v>85457</v>
      </c>
      <c r="G153">
        <v>79</v>
      </c>
      <c r="H153" t="s">
        <v>17</v>
      </c>
    </row>
    <row r="154" spans="1:8" x14ac:dyDescent="0.3">
      <c r="A154" t="s">
        <v>281</v>
      </c>
      <c r="B154" t="s">
        <v>105</v>
      </c>
      <c r="C154" t="s">
        <v>47</v>
      </c>
      <c r="D154" t="s">
        <v>48</v>
      </c>
      <c r="E154" s="2">
        <v>42519</v>
      </c>
      <c r="F154">
        <v>62798</v>
      </c>
      <c r="G154">
        <v>30</v>
      </c>
      <c r="H154" t="s">
        <v>17</v>
      </c>
    </row>
    <row r="155" spans="1:8" x14ac:dyDescent="0.3">
      <c r="A155" t="s">
        <v>282</v>
      </c>
      <c r="B155" t="s">
        <v>9</v>
      </c>
      <c r="C155" t="s">
        <v>25</v>
      </c>
      <c r="D155" t="s">
        <v>33</v>
      </c>
      <c r="E155" s="2">
        <v>44711</v>
      </c>
      <c r="F155">
        <v>47794</v>
      </c>
      <c r="G155">
        <v>73</v>
      </c>
      <c r="H155" t="s">
        <v>22</v>
      </c>
    </row>
    <row r="156" spans="1:8" x14ac:dyDescent="0.3">
      <c r="A156" t="s">
        <v>89</v>
      </c>
      <c r="B156" t="s">
        <v>24</v>
      </c>
      <c r="C156" t="s">
        <v>41</v>
      </c>
      <c r="D156" t="s">
        <v>44</v>
      </c>
      <c r="E156" s="2">
        <v>42202</v>
      </c>
      <c r="G156">
        <v>68</v>
      </c>
      <c r="H156" t="s">
        <v>12</v>
      </c>
    </row>
    <row r="157" spans="1:8" x14ac:dyDescent="0.3">
      <c r="A157" t="s">
        <v>283</v>
      </c>
      <c r="B157" t="s">
        <v>66</v>
      </c>
      <c r="C157" t="s">
        <v>41</v>
      </c>
      <c r="D157" t="s">
        <v>16</v>
      </c>
      <c r="E157" t="s">
        <v>284</v>
      </c>
      <c r="F157">
        <v>93094</v>
      </c>
      <c r="G157">
        <v>74</v>
      </c>
      <c r="H157" t="s">
        <v>12</v>
      </c>
    </row>
    <row r="158" spans="1:8" x14ac:dyDescent="0.3">
      <c r="A158" t="s">
        <v>285</v>
      </c>
      <c r="B158" t="s">
        <v>71</v>
      </c>
      <c r="C158" t="s">
        <v>10</v>
      </c>
      <c r="D158" t="s">
        <v>11</v>
      </c>
      <c r="E158" s="2">
        <v>44848</v>
      </c>
      <c r="F158" t="s">
        <v>286</v>
      </c>
      <c r="G158">
        <v>91</v>
      </c>
      <c r="H158"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A2" sqref="A2:C7"/>
    </sheetView>
  </sheetViews>
  <sheetFormatPr defaultRowHeight="14.4" x14ac:dyDescent="0.3"/>
  <sheetData>
    <row r="1" spans="1:2" x14ac:dyDescent="0.3">
      <c r="A1" s="1" t="s">
        <v>287</v>
      </c>
      <c r="B1" s="1" t="s">
        <v>288</v>
      </c>
    </row>
    <row r="2" spans="1:2" x14ac:dyDescent="0.3">
      <c r="A2" t="s">
        <v>97</v>
      </c>
      <c r="B2" t="s">
        <v>289</v>
      </c>
    </row>
    <row r="3" spans="1:2" x14ac:dyDescent="0.3">
      <c r="A3" t="s">
        <v>11</v>
      </c>
      <c r="B3" t="s">
        <v>290</v>
      </c>
    </row>
    <row r="4" spans="1:2" x14ac:dyDescent="0.3">
      <c r="A4" t="s">
        <v>26</v>
      </c>
      <c r="B4" t="s">
        <v>291</v>
      </c>
    </row>
    <row r="5" spans="1:2" x14ac:dyDescent="0.3">
      <c r="A5" t="s">
        <v>16</v>
      </c>
      <c r="B5" t="s">
        <v>292</v>
      </c>
    </row>
    <row r="6" spans="1:2" x14ac:dyDescent="0.3">
      <c r="A6" t="s">
        <v>44</v>
      </c>
      <c r="B6" t="s">
        <v>293</v>
      </c>
    </row>
    <row r="7" spans="1:2" x14ac:dyDescent="0.3">
      <c r="A7" t="s">
        <v>33</v>
      </c>
      <c r="B7" t="s">
        <v>294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4.4" x14ac:dyDescent="0.3"/>
  <sheetData>
    <row r="1" spans="1:4" x14ac:dyDescent="0.3">
      <c r="A1" s="1" t="s">
        <v>295</v>
      </c>
      <c r="B1" s="1" t="s">
        <v>296</v>
      </c>
      <c r="C1" s="1" t="s">
        <v>297</v>
      </c>
      <c r="D1" s="1" t="s">
        <v>298</v>
      </c>
    </row>
    <row r="2" spans="1:4" x14ac:dyDescent="0.3">
      <c r="A2">
        <v>0</v>
      </c>
      <c r="B2">
        <v>49</v>
      </c>
      <c r="C2" t="s">
        <v>299</v>
      </c>
      <c r="D2">
        <v>0</v>
      </c>
    </row>
    <row r="3" spans="1:4" x14ac:dyDescent="0.3">
      <c r="A3">
        <v>50</v>
      </c>
      <c r="B3">
        <v>69</v>
      </c>
      <c r="C3" t="s">
        <v>300</v>
      </c>
      <c r="D3">
        <v>0.02</v>
      </c>
    </row>
    <row r="4" spans="1:4" x14ac:dyDescent="0.3">
      <c r="A4">
        <v>70</v>
      </c>
      <c r="B4">
        <v>84</v>
      </c>
      <c r="C4" t="s">
        <v>301</v>
      </c>
      <c r="D4">
        <v>0.05</v>
      </c>
    </row>
    <row r="5" spans="1:4" x14ac:dyDescent="0.3">
      <c r="A5">
        <v>85</v>
      </c>
      <c r="B5">
        <v>94</v>
      </c>
      <c r="C5" t="s">
        <v>302</v>
      </c>
      <c r="D5">
        <v>0.08</v>
      </c>
    </row>
    <row r="6" spans="1:4" x14ac:dyDescent="0.3">
      <c r="A6">
        <v>95</v>
      </c>
      <c r="B6">
        <v>100</v>
      </c>
      <c r="C6" t="s">
        <v>303</v>
      </c>
      <c r="D6">
        <v>0.12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DEE-ADB0-43F6-B3BD-6972F97DC23C}">
  <dimension ref="B1:Q151"/>
  <sheetViews>
    <sheetView zoomScale="82" zoomScaleNormal="220" workbookViewId="0"/>
  </sheetViews>
  <sheetFormatPr defaultRowHeight="14.4" x14ac:dyDescent="0.3"/>
  <cols>
    <col min="1" max="1" width="17.109375" customWidth="1"/>
    <col min="3" max="3" width="12.33203125" customWidth="1"/>
    <col min="4" max="4" width="12.21875" customWidth="1"/>
    <col min="5" max="5" width="17.44140625" bestFit="1" customWidth="1"/>
    <col min="6" max="6" width="11.6640625" customWidth="1"/>
    <col min="7" max="7" width="55.44140625" bestFit="1" customWidth="1"/>
    <col min="8" max="8" width="18.109375" bestFit="1" customWidth="1"/>
    <col min="9" max="9" width="18.109375" customWidth="1"/>
    <col min="10" max="11" width="12" style="5" customWidth="1"/>
    <col min="12" max="12" width="14.5546875" bestFit="1" customWidth="1"/>
    <col min="13" max="13" width="21.21875" bestFit="1" customWidth="1"/>
    <col min="14" max="14" width="22.109375" bestFit="1" customWidth="1"/>
  </cols>
  <sheetData>
    <row r="1" spans="2:17" x14ac:dyDescent="0.3">
      <c r="B1" s="3" t="s">
        <v>0</v>
      </c>
      <c r="C1" s="3" t="s">
        <v>1</v>
      </c>
      <c r="D1" s="3" t="s">
        <v>2</v>
      </c>
      <c r="E1" s="3" t="s">
        <v>308</v>
      </c>
      <c r="F1" s="3" t="s">
        <v>3</v>
      </c>
      <c r="G1" s="3" t="s">
        <v>309</v>
      </c>
      <c r="H1" s="3" t="s">
        <v>4</v>
      </c>
      <c r="I1" s="3" t="s">
        <v>310</v>
      </c>
      <c r="J1" s="7" t="s">
        <v>5</v>
      </c>
      <c r="K1" s="7" t="s">
        <v>311</v>
      </c>
      <c r="L1" s="3" t="s">
        <v>6</v>
      </c>
      <c r="M1" s="3" t="s">
        <v>312</v>
      </c>
      <c r="N1" s="3" t="s">
        <v>7</v>
      </c>
    </row>
    <row r="2" spans="2:17" x14ac:dyDescent="0.3">
      <c r="B2" t="s">
        <v>8</v>
      </c>
      <c r="C2" t="s">
        <v>9</v>
      </c>
      <c r="D2" t="s">
        <v>10</v>
      </c>
      <c r="E2" t="str">
        <f>TRIM(Table1[[#This Row],[First_Name]]&amp;" "&amp;Table1[[#This Row],[Last_Name]])</f>
        <v>Emily Brown</v>
      </c>
      <c r="F2" t="s">
        <v>11</v>
      </c>
      <c r="G2" t="str">
        <f>VLOOKUP(Table1[[#This Row],[Dept Code]],Lookup_Departments!$A:$B,2,FALSE)</f>
        <v>Information Technology</v>
      </c>
      <c r="H2" s="4">
        <v>43093</v>
      </c>
      <c r="I2" s="6">
        <f ca="1">ROUND((TODAY()-Table1[[#This Row],[Hire Date]])/365.25,1)</f>
        <v>8.5</v>
      </c>
      <c r="J2" s="5">
        <v>50361</v>
      </c>
      <c r="K2" s="5">
        <f>J2*VLOOKUP(L2,Lookup_Performance!$A:$D,4,TRUE)</f>
        <v>1007.22</v>
      </c>
      <c r="L2">
        <v>52</v>
      </c>
      <c r="M2" t="str">
        <f>VLOOKUP(Table1[[#This Row],[Perf_Score]],Lookup_Performance!$A:$D,3,TRUE)</f>
        <v>Developing</v>
      </c>
      <c r="N2" t="s">
        <v>305</v>
      </c>
      <c r="Q2" s="6"/>
    </row>
    <row r="3" spans="2:17" x14ac:dyDescent="0.3">
      <c r="B3" t="s">
        <v>13</v>
      </c>
      <c r="C3" t="s">
        <v>14</v>
      </c>
      <c r="D3" t="s">
        <v>15</v>
      </c>
      <c r="E3" t="str">
        <f>TRIM(Table1[[#This Row],[First_Name]]&amp;" "&amp;Table1[[#This Row],[Last_Name]])</f>
        <v>Richard Hernandez</v>
      </c>
      <c r="F3" t="s">
        <v>16</v>
      </c>
      <c r="G3" t="str">
        <f>VLOOKUP(Table1[[#This Row],[Dept Code]],Lookup_Departments!$A:$B,2,FALSE)</f>
        <v>Marketing</v>
      </c>
      <c r="H3" s="4">
        <v>44659</v>
      </c>
      <c r="I3" s="6">
        <f ca="1">ROUND((TODAY()-Table1[[#This Row],[Hire Date]])/365.25,1)</f>
        <v>4.3</v>
      </c>
      <c r="J3" s="5">
        <v>112673</v>
      </c>
      <c r="K3" s="5">
        <f>J3*VLOOKUP(L3,Lookup_Performance!$A:$D,4,TRUE)</f>
        <v>5633.6500000000005</v>
      </c>
      <c r="L3">
        <v>74</v>
      </c>
      <c r="M3" t="str">
        <f>VLOOKUP(Table1[[#This Row],[Perf_Score]],Lookup_Performance!$A:$D,3,TRUE)</f>
        <v>Achieving</v>
      </c>
      <c r="N3" t="s">
        <v>305</v>
      </c>
    </row>
    <row r="4" spans="2:17" x14ac:dyDescent="0.3">
      <c r="B4" t="s">
        <v>18</v>
      </c>
      <c r="C4" t="s">
        <v>9</v>
      </c>
      <c r="D4" t="s">
        <v>19</v>
      </c>
      <c r="E4" t="str">
        <f>TRIM(Table1[[#This Row],[First_Name]]&amp;" "&amp;Table1[[#This Row],[Last_Name]])</f>
        <v>Emily Gonzalez</v>
      </c>
      <c r="F4" t="s">
        <v>11</v>
      </c>
      <c r="G4" t="str">
        <f>VLOOKUP(Table1[[#This Row],[Dept Code]],Lookup_Departments!$A:$B,2,FALSE)</f>
        <v>Information Technology</v>
      </c>
      <c r="H4" s="4">
        <v>42431</v>
      </c>
      <c r="I4" s="6">
        <f ca="1">ROUND((TODAY()-Table1[[#This Row],[Hire Date]])/365.25,1)</f>
        <v>10.4</v>
      </c>
      <c r="J4" s="5">
        <v>114425</v>
      </c>
      <c r="K4" s="5">
        <f>J4*VLOOKUP(L4,Lookup_Performance!$A:$D,4,TRUE)</f>
        <v>2288.5</v>
      </c>
      <c r="L4">
        <v>54</v>
      </c>
      <c r="M4" t="str">
        <f>VLOOKUP(Table1[[#This Row],[Perf_Score]],Lookup_Performance!$A:$D,3,TRUE)</f>
        <v>Developing</v>
      </c>
      <c r="N4" t="s">
        <v>306</v>
      </c>
    </row>
    <row r="5" spans="2:17" x14ac:dyDescent="0.3">
      <c r="B5" t="s">
        <v>23</v>
      </c>
      <c r="C5" t="s">
        <v>24</v>
      </c>
      <c r="D5" t="s">
        <v>25</v>
      </c>
      <c r="E5" t="str">
        <f>TRIM(Table1[[#This Row],[First_Name]]&amp;" "&amp;Table1[[#This Row],[Last_Name]])</f>
        <v>John Martinez</v>
      </c>
      <c r="F5" t="s">
        <v>26</v>
      </c>
      <c r="G5" t="str">
        <f>VLOOKUP(Table1[[#This Row],[Dept Code]],Lookup_Departments!$A:$B,2,FALSE)</f>
        <v>Finance</v>
      </c>
      <c r="H5" s="4">
        <v>45110</v>
      </c>
      <c r="I5" s="6">
        <f ca="1">ROUND((TODAY()-Table1[[#This Row],[Hire Date]])/365.25,1)</f>
        <v>3</v>
      </c>
      <c r="J5" s="5">
        <v>103831</v>
      </c>
      <c r="K5" s="5">
        <f>J5*VLOOKUP(L5,Lookup_Performance!$A:$D,4,TRUE)</f>
        <v>5191.55</v>
      </c>
      <c r="L5">
        <v>70</v>
      </c>
      <c r="M5" t="str">
        <f>VLOOKUP(Table1[[#This Row],[Perf_Score]],Lookup_Performance!$A:$D,3,TRUE)</f>
        <v>Achieving</v>
      </c>
      <c r="N5" t="s">
        <v>305</v>
      </c>
    </row>
    <row r="6" spans="2:17" x14ac:dyDescent="0.3">
      <c r="B6" t="s">
        <v>27</v>
      </c>
      <c r="C6" t="s">
        <v>28</v>
      </c>
      <c r="D6" t="s">
        <v>29</v>
      </c>
      <c r="E6" t="str">
        <f>TRIM(Table1[[#This Row],[First_Name]]&amp;" "&amp;Table1[[#This Row],[Last_Name]])</f>
        <v>Thomas Smith</v>
      </c>
      <c r="F6" t="s">
        <v>11</v>
      </c>
      <c r="G6" t="str">
        <f>VLOOKUP(Table1[[#This Row],[Dept Code]],Lookup_Departments!$A:$B,2,FALSE)</f>
        <v>Information Technology</v>
      </c>
      <c r="H6" s="4">
        <v>44977</v>
      </c>
      <c r="I6" s="6">
        <f ca="1">ROUND((TODAY()-Table1[[#This Row],[Hire Date]])/365.25,1)</f>
        <v>3.4</v>
      </c>
      <c r="J6" s="5">
        <v>73785</v>
      </c>
      <c r="K6" s="5">
        <f>J6*VLOOKUP(L6,Lookup_Performance!$A:$D,4,TRUE)</f>
        <v>0</v>
      </c>
      <c r="L6">
        <v>40</v>
      </c>
      <c r="M6" t="str">
        <f>VLOOKUP(Table1[[#This Row],[Perf_Score]],Lookup_Performance!$A:$D,3,TRUE)</f>
        <v>Needs Improvement</v>
      </c>
      <c r="N6" t="s">
        <v>306</v>
      </c>
    </row>
    <row r="7" spans="2:17" x14ac:dyDescent="0.3">
      <c r="B7" t="s">
        <v>31</v>
      </c>
      <c r="C7" t="s">
        <v>9</v>
      </c>
      <c r="D7" t="s">
        <v>32</v>
      </c>
      <c r="E7" t="str">
        <f>TRIM(Table1[[#This Row],[First_Name]]&amp;" "&amp;Table1[[#This Row],[Last_Name]])</f>
        <v>Emily Johnson</v>
      </c>
      <c r="F7" t="s">
        <v>33</v>
      </c>
      <c r="G7" t="str">
        <f>VLOOKUP(Table1[[#This Row],[Dept Code]],Lookup_Departments!$A:$B,2,FALSE)</f>
        <v>Operations</v>
      </c>
      <c r="H7" s="4">
        <v>43892</v>
      </c>
      <c r="I7" s="6">
        <f ca="1">ROUND((TODAY()-Table1[[#This Row],[Hire Date]])/365.25,1)</f>
        <v>6.4</v>
      </c>
      <c r="J7" s="5">
        <v>115882</v>
      </c>
      <c r="K7" s="5">
        <f>J7*VLOOKUP(L7,Lookup_Performance!$A:$D,4,TRUE)</f>
        <v>0</v>
      </c>
      <c r="L7">
        <v>49</v>
      </c>
      <c r="M7" t="str">
        <f>VLOOKUP(Table1[[#This Row],[Perf_Score]],Lookup_Performance!$A:$D,3,TRUE)</f>
        <v>Needs Improvement</v>
      </c>
      <c r="N7" t="s">
        <v>305</v>
      </c>
    </row>
    <row r="8" spans="2:17" x14ac:dyDescent="0.3">
      <c r="B8" t="s">
        <v>35</v>
      </c>
      <c r="C8" t="s">
        <v>24</v>
      </c>
      <c r="D8" t="s">
        <v>36</v>
      </c>
      <c r="E8" t="str">
        <f>TRIM(Table1[[#This Row],[First_Name]]&amp;" "&amp;Table1[[#This Row],[Last_Name]])</f>
        <v>John Wilson</v>
      </c>
      <c r="F8" t="s">
        <v>33</v>
      </c>
      <c r="G8" t="str">
        <f>VLOOKUP(Table1[[#This Row],[Dept Code]],Lookup_Departments!$A:$B,2,FALSE)</f>
        <v>Operations</v>
      </c>
      <c r="H8" s="4">
        <v>45272</v>
      </c>
      <c r="I8" s="6">
        <f ca="1">ROUND((TODAY()-Table1[[#This Row],[Hire Date]])/365.25,1)</f>
        <v>2.6</v>
      </c>
      <c r="J8" s="5">
        <v>59980</v>
      </c>
      <c r="K8" s="5">
        <f>J8*VLOOKUP(L8,Lookup_Performance!$A:$D,4,TRUE)</f>
        <v>2999</v>
      </c>
      <c r="L8">
        <v>70</v>
      </c>
      <c r="M8" t="str">
        <f>VLOOKUP(Table1[[#This Row],[Perf_Score]],Lookup_Performance!$A:$D,3,TRUE)</f>
        <v>Achieving</v>
      </c>
      <c r="N8" t="s">
        <v>306</v>
      </c>
    </row>
    <row r="9" spans="2:17" x14ac:dyDescent="0.3">
      <c r="B9" t="s">
        <v>38</v>
      </c>
      <c r="C9" t="s">
        <v>39</v>
      </c>
      <c r="D9" t="s">
        <v>29</v>
      </c>
      <c r="E9" t="str">
        <f>TRIM(Table1[[#This Row],[First_Name]]&amp;" "&amp;Table1[[#This Row],[Last_Name]])</f>
        <v>Jessica Smith</v>
      </c>
      <c r="F9" t="s">
        <v>33</v>
      </c>
      <c r="G9" t="str">
        <f>VLOOKUP(Table1[[#This Row],[Dept Code]],Lookup_Departments!$A:$B,2,FALSE)</f>
        <v>Operations</v>
      </c>
      <c r="H9" s="4">
        <v>44174</v>
      </c>
      <c r="I9" s="6">
        <f ca="1">ROUND((TODAY()-Table1[[#This Row],[Hire Date]])/365.25,1)</f>
        <v>5.6</v>
      </c>
      <c r="J9" s="5">
        <v>68728</v>
      </c>
      <c r="K9" s="5">
        <f>J9*VLOOKUP(L9,Lookup_Performance!$A:$D,4,TRUE)</f>
        <v>0</v>
      </c>
      <c r="L9">
        <v>45</v>
      </c>
      <c r="M9" t="str">
        <f>VLOOKUP(Table1[[#This Row],[Perf_Score]],Lookup_Performance!$A:$D,3,TRUE)</f>
        <v>Needs Improvement</v>
      </c>
      <c r="N9" t="s">
        <v>305</v>
      </c>
    </row>
    <row r="10" spans="2:17" x14ac:dyDescent="0.3">
      <c r="B10" t="s">
        <v>40</v>
      </c>
      <c r="C10" t="s">
        <v>304</v>
      </c>
      <c r="D10" t="s">
        <v>41</v>
      </c>
      <c r="E10" t="str">
        <f>TRIM(Table1[[#This Row],[First_Name]]&amp;" "&amp;Table1[[#This Row],[Last_Name]])</f>
        <v>Unknown Rodriguez</v>
      </c>
      <c r="F10" t="s">
        <v>26</v>
      </c>
      <c r="G10" t="str">
        <f>VLOOKUP(Table1[[#This Row],[Dept Code]],Lookup_Departments!$A:$B,2,FALSE)</f>
        <v>Finance</v>
      </c>
      <c r="H10" s="4">
        <v>43107</v>
      </c>
      <c r="I10" s="6">
        <f ca="1">ROUND((TODAY()-Table1[[#This Row],[Hire Date]])/365.25,1)</f>
        <v>8.5</v>
      </c>
      <c r="J10" s="5">
        <v>102139</v>
      </c>
      <c r="K10" s="5">
        <f>J10*VLOOKUP(L10,Lookup_Performance!$A:$D,4,TRUE)</f>
        <v>5106.9500000000007</v>
      </c>
      <c r="L10">
        <v>79</v>
      </c>
      <c r="M10" t="str">
        <f>VLOOKUP(Table1[[#This Row],[Perf_Score]],Lookup_Performance!$A:$D,3,TRUE)</f>
        <v>Achieving</v>
      </c>
      <c r="N10" t="s">
        <v>305</v>
      </c>
    </row>
    <row r="11" spans="2:17" x14ac:dyDescent="0.3">
      <c r="B11" t="s">
        <v>42</v>
      </c>
      <c r="C11" t="s">
        <v>43</v>
      </c>
      <c r="D11" t="s">
        <v>25</v>
      </c>
      <c r="E11" t="str">
        <f>TRIM(Table1[[#This Row],[First_Name]]&amp;" "&amp;Table1[[#This Row],[Last_Name]])</f>
        <v>Michael Martinez</v>
      </c>
      <c r="F11" t="s">
        <v>44</v>
      </c>
      <c r="G11" t="str">
        <f>VLOOKUP(Table1[[#This Row],[Dept Code]],Lookup_Departments!$A:$B,2,FALSE)</f>
        <v>Sales</v>
      </c>
      <c r="H11" s="4">
        <v>42676</v>
      </c>
      <c r="I11" s="6">
        <f ca="1">ROUND((TODAY()-Table1[[#This Row],[Hire Date]])/365.25,1)</f>
        <v>9.6999999999999993</v>
      </c>
      <c r="J11" s="5">
        <v>94998</v>
      </c>
      <c r="K11" s="5">
        <f>J11*VLOOKUP(L11,Lookup_Performance!$A:$D,4,TRUE)</f>
        <v>1899.96</v>
      </c>
      <c r="L11">
        <v>58</v>
      </c>
      <c r="M11" t="str">
        <f>VLOOKUP(Table1[[#This Row],[Perf_Score]],Lookup_Performance!$A:$D,3,TRUE)</f>
        <v>Developing</v>
      </c>
      <c r="N11" t="s">
        <v>305</v>
      </c>
    </row>
    <row r="12" spans="2:17" x14ac:dyDescent="0.3">
      <c r="B12" t="s">
        <v>46</v>
      </c>
      <c r="C12" t="s">
        <v>9</v>
      </c>
      <c r="D12" t="s">
        <v>47</v>
      </c>
      <c r="E12" t="str">
        <f>TRIM(Table1[[#This Row],[First_Name]]&amp;" "&amp;Table1[[#This Row],[Last_Name]])</f>
        <v>Emily Miller</v>
      </c>
      <c r="F12" t="s">
        <v>44</v>
      </c>
      <c r="G12" t="str">
        <f>VLOOKUP(Table1[[#This Row],[Dept Code]],Lookup_Departments!$A:$B,2,FALSE)</f>
        <v>Sales</v>
      </c>
      <c r="H12" s="4">
        <v>43911</v>
      </c>
      <c r="I12" s="6">
        <f ca="1">ROUND((TODAY()-Table1[[#This Row],[Hire Date]])/365.25,1)</f>
        <v>6.3</v>
      </c>
      <c r="J12" s="5">
        <v>118635</v>
      </c>
      <c r="K12" s="5">
        <f>J12*VLOOKUP(L12,Lookup_Performance!$A:$D,4,TRUE)</f>
        <v>0</v>
      </c>
      <c r="L12">
        <v>49</v>
      </c>
      <c r="M12" t="str">
        <f>VLOOKUP(Table1[[#This Row],[Perf_Score]],Lookup_Performance!$A:$D,3,TRUE)</f>
        <v>Needs Improvement</v>
      </c>
      <c r="N12" t="s">
        <v>305</v>
      </c>
    </row>
    <row r="13" spans="2:17" x14ac:dyDescent="0.3">
      <c r="B13" t="s">
        <v>50</v>
      </c>
      <c r="C13" t="s">
        <v>9</v>
      </c>
      <c r="D13" t="s">
        <v>15</v>
      </c>
      <c r="E13" t="str">
        <f>TRIM(Table1[[#This Row],[First_Name]]&amp;" "&amp;Table1[[#This Row],[Last_Name]])</f>
        <v>Emily Hernandez</v>
      </c>
      <c r="F13" t="s">
        <v>11</v>
      </c>
      <c r="G13" t="str">
        <f>VLOOKUP(Table1[[#This Row],[Dept Code]],Lookup_Departments!$A:$B,2,FALSE)</f>
        <v>Information Technology</v>
      </c>
      <c r="H13" s="4">
        <v>42425</v>
      </c>
      <c r="I13" s="6">
        <f ca="1">ROUND((TODAY()-Table1[[#This Row],[Hire Date]])/365.25,1)</f>
        <v>10.4</v>
      </c>
      <c r="J13" s="5">
        <v>76918</v>
      </c>
      <c r="K13" s="5">
        <f>J13*VLOOKUP(L13,Lookup_Performance!$A:$D,4,TRUE)</f>
        <v>1538.3600000000001</v>
      </c>
      <c r="L13">
        <v>62</v>
      </c>
      <c r="M13" t="str">
        <f>VLOOKUP(Table1[[#This Row],[Perf_Score]],Lookup_Performance!$A:$D,3,TRUE)</f>
        <v>Developing</v>
      </c>
      <c r="N13" t="s">
        <v>305</v>
      </c>
    </row>
    <row r="14" spans="2:17" x14ac:dyDescent="0.3">
      <c r="B14" t="s">
        <v>52</v>
      </c>
      <c r="C14" t="s">
        <v>53</v>
      </c>
      <c r="D14" t="s">
        <v>54</v>
      </c>
      <c r="E14" t="str">
        <f>TRIM(Table1[[#This Row],[First_Name]]&amp;" "&amp;Table1[[#This Row],[Last_Name]])</f>
        <v>Jane Williams</v>
      </c>
      <c r="F14" t="s">
        <v>16</v>
      </c>
      <c r="G14" t="str">
        <f>VLOOKUP(Table1[[#This Row],[Dept Code]],Lookup_Departments!$A:$B,2,FALSE)</f>
        <v>Marketing</v>
      </c>
      <c r="H14" s="4">
        <v>44364</v>
      </c>
      <c r="I14" s="6">
        <f ca="1">ROUND((TODAY()-Table1[[#This Row],[Hire Date]])/365.25,1)</f>
        <v>5.0999999999999996</v>
      </c>
      <c r="J14" s="5">
        <v>61408</v>
      </c>
      <c r="K14" s="5">
        <f>J14*VLOOKUP(L14,Lookup_Performance!$A:$D,4,TRUE)</f>
        <v>0</v>
      </c>
      <c r="L14">
        <v>48</v>
      </c>
      <c r="M14" t="str">
        <f>VLOOKUP(Table1[[#This Row],[Perf_Score]],Lookup_Performance!$A:$D,3,TRUE)</f>
        <v>Needs Improvement</v>
      </c>
      <c r="N14" t="s">
        <v>305</v>
      </c>
    </row>
    <row r="15" spans="2:17" x14ac:dyDescent="0.3">
      <c r="B15" t="s">
        <v>57</v>
      </c>
      <c r="C15" t="s">
        <v>53</v>
      </c>
      <c r="D15" t="s">
        <v>47</v>
      </c>
      <c r="E15" t="str">
        <f>TRIM(Table1[[#This Row],[First_Name]]&amp;" "&amp;Table1[[#This Row],[Last_Name]])</f>
        <v>Jane Miller</v>
      </c>
      <c r="F15" t="s">
        <v>16</v>
      </c>
      <c r="G15" t="str">
        <f>VLOOKUP(Table1[[#This Row],[Dept Code]],Lookup_Departments!$A:$B,2,FALSE)</f>
        <v>Marketing</v>
      </c>
      <c r="H15" s="4">
        <v>44001</v>
      </c>
      <c r="I15" s="6">
        <f ca="1">ROUND((TODAY()-Table1[[#This Row],[Hire Date]])/365.25,1)</f>
        <v>6.1</v>
      </c>
      <c r="J15" s="5">
        <v>99990</v>
      </c>
      <c r="K15" s="5">
        <f>J15*VLOOKUP(L15,Lookup_Performance!$A:$D,4,TRUE)</f>
        <v>1999.8</v>
      </c>
      <c r="L15">
        <v>54</v>
      </c>
      <c r="M15" t="str">
        <f>VLOOKUP(Table1[[#This Row],[Perf_Score]],Lookup_Performance!$A:$D,3,TRUE)</f>
        <v>Developing</v>
      </c>
      <c r="N15" t="s">
        <v>305</v>
      </c>
    </row>
    <row r="16" spans="2:17" x14ac:dyDescent="0.3">
      <c r="B16" t="s">
        <v>58</v>
      </c>
      <c r="C16" t="s">
        <v>59</v>
      </c>
      <c r="D16" t="s">
        <v>60</v>
      </c>
      <c r="E16" t="str">
        <f>TRIM(Table1[[#This Row],[First_Name]]&amp;" "&amp;Table1[[#This Row],[Last_Name]])</f>
        <v>Robert Jones</v>
      </c>
      <c r="F16" t="s">
        <v>16</v>
      </c>
      <c r="G16" t="str">
        <f>VLOOKUP(Table1[[#This Row],[Dept Code]],Lookup_Departments!$A:$B,2,FALSE)</f>
        <v>Marketing</v>
      </c>
      <c r="H16" s="4">
        <v>43820</v>
      </c>
      <c r="I16" s="6">
        <f ca="1">ROUND((TODAY()-Table1[[#This Row],[Hire Date]])/365.25,1)</f>
        <v>6.5</v>
      </c>
      <c r="J16" s="5">
        <v>80385</v>
      </c>
      <c r="K16" s="5">
        <f>J16*VLOOKUP(L16,Lookup_Performance!$A:$D,4,TRUE)</f>
        <v>4019.25</v>
      </c>
      <c r="L16">
        <v>74</v>
      </c>
      <c r="M16" t="str">
        <f>VLOOKUP(Table1[[#This Row],[Perf_Score]],Lookup_Performance!$A:$D,3,TRUE)</f>
        <v>Achieving</v>
      </c>
      <c r="N16" t="s">
        <v>305</v>
      </c>
    </row>
    <row r="17" spans="2:14" x14ac:dyDescent="0.3">
      <c r="B17" t="s">
        <v>62</v>
      </c>
      <c r="C17" t="s">
        <v>28</v>
      </c>
      <c r="D17" t="s">
        <v>41</v>
      </c>
      <c r="E17" t="str">
        <f>TRIM(Table1[[#This Row],[First_Name]]&amp;" "&amp;Table1[[#This Row],[Last_Name]])</f>
        <v>Thomas Rodriguez</v>
      </c>
      <c r="F17" t="s">
        <v>44</v>
      </c>
      <c r="G17" t="str">
        <f>VLOOKUP(Table1[[#This Row],[Dept Code]],Lookup_Departments!$A:$B,2,FALSE)</f>
        <v>Sales</v>
      </c>
      <c r="H17" s="4">
        <v>45169</v>
      </c>
      <c r="I17" s="6">
        <f ca="1">ROUND((TODAY()-Table1[[#This Row],[Hire Date]])/365.25,1)</f>
        <v>2.9</v>
      </c>
      <c r="J17" s="5">
        <v>65290</v>
      </c>
      <c r="K17" s="5">
        <f>J17*VLOOKUP(L17,Lookup_Performance!$A:$D,4,TRUE)</f>
        <v>3264.5</v>
      </c>
      <c r="L17">
        <v>77</v>
      </c>
      <c r="M17" t="str">
        <f>VLOOKUP(Table1[[#This Row],[Perf_Score]],Lookup_Performance!$A:$D,3,TRUE)</f>
        <v>Achieving</v>
      </c>
      <c r="N17" t="s">
        <v>305</v>
      </c>
    </row>
    <row r="18" spans="2:14" x14ac:dyDescent="0.3">
      <c r="B18" t="s">
        <v>63</v>
      </c>
      <c r="C18" t="s">
        <v>9</v>
      </c>
      <c r="D18" t="s">
        <v>64</v>
      </c>
      <c r="E18" t="str">
        <f>TRIM(Table1[[#This Row],[First_Name]]&amp;" "&amp;Table1[[#This Row],[Last_Name]])</f>
        <v>Emily Davis</v>
      </c>
      <c r="F18" t="s">
        <v>11</v>
      </c>
      <c r="G18" t="str">
        <f>VLOOKUP(Table1[[#This Row],[Dept Code]],Lookup_Departments!$A:$B,2,FALSE)</f>
        <v>Information Technology</v>
      </c>
      <c r="H18" s="4">
        <v>42337</v>
      </c>
      <c r="I18" s="6">
        <f ca="1">ROUND((TODAY()-Table1[[#This Row],[Hire Date]])/365.25,1)</f>
        <v>10.6</v>
      </c>
      <c r="J18" s="5">
        <v>105765</v>
      </c>
      <c r="K18" s="5">
        <f>J18*VLOOKUP(L18,Lookup_Performance!$A:$D,4,TRUE)</f>
        <v>0</v>
      </c>
      <c r="L18">
        <v>42</v>
      </c>
      <c r="M18" t="str">
        <f>VLOOKUP(Table1[[#This Row],[Perf_Score]],Lookup_Performance!$A:$D,3,TRUE)</f>
        <v>Needs Improvement</v>
      </c>
      <c r="N18" t="s">
        <v>305</v>
      </c>
    </row>
    <row r="19" spans="2:14" x14ac:dyDescent="0.3">
      <c r="B19" t="s">
        <v>65</v>
      </c>
      <c r="C19" t="s">
        <v>66</v>
      </c>
      <c r="D19" t="s">
        <v>25</v>
      </c>
      <c r="E19" t="str">
        <f>TRIM(Table1[[#This Row],[First_Name]]&amp;" "&amp;Table1[[#This Row],[Last_Name]])</f>
        <v>James Martinez</v>
      </c>
      <c r="F19" t="s">
        <v>44</v>
      </c>
      <c r="G19" t="str">
        <f>VLOOKUP(Table1[[#This Row],[Dept Code]],Lookup_Departments!$A:$B,2,FALSE)</f>
        <v>Sales</v>
      </c>
      <c r="H19" s="4">
        <v>42899</v>
      </c>
      <c r="I19" s="6">
        <f ca="1">ROUND((TODAY()-Table1[[#This Row],[Hire Date]])/365.25,1)</f>
        <v>9.1</v>
      </c>
      <c r="J19" s="5">
        <v>102921</v>
      </c>
      <c r="K19" s="5">
        <f>J19*VLOOKUP(L19,Lookup_Performance!$A:$D,4,TRUE)</f>
        <v>0</v>
      </c>
      <c r="L19">
        <v>49</v>
      </c>
      <c r="M19" t="str">
        <f>VLOOKUP(Table1[[#This Row],[Perf_Score]],Lookup_Performance!$A:$D,3,TRUE)</f>
        <v>Needs Improvement</v>
      </c>
      <c r="N19" t="s">
        <v>305</v>
      </c>
    </row>
    <row r="20" spans="2:14" x14ac:dyDescent="0.3">
      <c r="B20" t="s">
        <v>67</v>
      </c>
      <c r="C20" t="s">
        <v>68</v>
      </c>
      <c r="D20" t="s">
        <v>69</v>
      </c>
      <c r="E20" t="str">
        <f>TRIM(Table1[[#This Row],[First_Name]]&amp;" "&amp;Table1[[#This Row],[Last_Name]])</f>
        <v>Ashley Lopez</v>
      </c>
      <c r="F20" t="s">
        <v>16</v>
      </c>
      <c r="G20" t="str">
        <f>VLOOKUP(Table1[[#This Row],[Dept Code]],Lookup_Departments!$A:$B,2,FALSE)</f>
        <v>Marketing</v>
      </c>
      <c r="H20" s="4">
        <v>43235</v>
      </c>
      <c r="I20" s="6">
        <f ca="1">ROUND((TODAY()-Table1[[#This Row],[Hire Date]])/365.25,1)</f>
        <v>8.1999999999999993</v>
      </c>
      <c r="J20" s="5">
        <v>73984</v>
      </c>
      <c r="K20" s="5">
        <f>J20*VLOOKUP(L20,Lookup_Performance!$A:$D,4,TRUE)</f>
        <v>5918.72</v>
      </c>
      <c r="L20">
        <v>93</v>
      </c>
      <c r="M20" t="str">
        <f>VLOOKUP(Table1[[#This Row],[Perf_Score]],Lookup_Performance!$A:$D,3,TRUE)</f>
        <v>Exceeding</v>
      </c>
      <c r="N20" t="s">
        <v>305</v>
      </c>
    </row>
    <row r="21" spans="2:14" x14ac:dyDescent="0.3">
      <c r="B21" t="s">
        <v>70</v>
      </c>
      <c r="C21" t="s">
        <v>71</v>
      </c>
      <c r="D21" t="s">
        <v>19</v>
      </c>
      <c r="E21" t="str">
        <f>TRIM(Table1[[#This Row],[First_Name]]&amp;" "&amp;Table1[[#This Row],[Last_Name]])</f>
        <v>Amanda Gonzalez</v>
      </c>
      <c r="F21" t="s">
        <v>11</v>
      </c>
      <c r="G21" t="str">
        <f>VLOOKUP(Table1[[#This Row],[Dept Code]],Lookup_Departments!$A:$B,2,FALSE)</f>
        <v>Information Technology</v>
      </c>
      <c r="H21" s="4">
        <v>42575</v>
      </c>
      <c r="I21" s="6">
        <f ca="1">ROUND((TODAY()-Table1[[#This Row],[Hire Date]])/365.25,1)</f>
        <v>10</v>
      </c>
      <c r="J21" s="5">
        <v>76218.5</v>
      </c>
      <c r="K21" s="5">
        <f>J21*VLOOKUP(L21,Lookup_Performance!$A:$D,4,TRUE)</f>
        <v>3810.9250000000002</v>
      </c>
      <c r="L21">
        <v>75</v>
      </c>
      <c r="M21" t="str">
        <f>VLOOKUP(Table1[[#This Row],[Perf_Score]],Lookup_Performance!$A:$D,3,TRUE)</f>
        <v>Achieving</v>
      </c>
      <c r="N21" t="s">
        <v>305</v>
      </c>
    </row>
    <row r="22" spans="2:14" x14ac:dyDescent="0.3">
      <c r="B22" t="s">
        <v>72</v>
      </c>
      <c r="C22" t="s">
        <v>43</v>
      </c>
      <c r="D22" t="s">
        <v>15</v>
      </c>
      <c r="E22" t="str">
        <f>TRIM(Table1[[#This Row],[First_Name]]&amp;" "&amp;Table1[[#This Row],[Last_Name]])</f>
        <v>Michael Hernandez</v>
      </c>
      <c r="F22" t="s">
        <v>26</v>
      </c>
      <c r="G22" t="str">
        <f>VLOOKUP(Table1[[#This Row],[Dept Code]],Lookup_Departments!$A:$B,2,FALSE)</f>
        <v>Finance</v>
      </c>
      <c r="H22" s="4">
        <v>43076</v>
      </c>
      <c r="I22" s="6">
        <f ca="1">ROUND((TODAY()-Table1[[#This Row],[Hire Date]])/365.25,1)</f>
        <v>8.6</v>
      </c>
      <c r="J22" s="5">
        <v>118527</v>
      </c>
      <c r="K22" s="5">
        <f>J22*VLOOKUP(L22,Lookup_Performance!$A:$D,4,TRUE)</f>
        <v>2370.54</v>
      </c>
      <c r="L22">
        <v>50</v>
      </c>
      <c r="M22" t="str">
        <f>VLOOKUP(Table1[[#This Row],[Perf_Score]],Lookup_Performance!$A:$D,3,TRUE)</f>
        <v>Developing</v>
      </c>
      <c r="N22" t="s">
        <v>305</v>
      </c>
    </row>
    <row r="23" spans="2:14" x14ac:dyDescent="0.3">
      <c r="B23" t="s">
        <v>73</v>
      </c>
      <c r="C23" t="s">
        <v>14</v>
      </c>
      <c r="D23" t="s">
        <v>15</v>
      </c>
      <c r="E23" t="str">
        <f>TRIM(Table1[[#This Row],[First_Name]]&amp;" "&amp;Table1[[#This Row],[Last_Name]])</f>
        <v>Richard Hernandez</v>
      </c>
      <c r="F23" t="s">
        <v>16</v>
      </c>
      <c r="G23" t="str">
        <f>VLOOKUP(Table1[[#This Row],[Dept Code]],Lookup_Departments!$A:$B,2,FALSE)</f>
        <v>Marketing</v>
      </c>
      <c r="H23" s="4">
        <v>44353</v>
      </c>
      <c r="I23" s="6">
        <f ca="1">ROUND((TODAY()-Table1[[#This Row],[Hire Date]])/365.25,1)</f>
        <v>5.0999999999999996</v>
      </c>
      <c r="J23" s="5">
        <v>107871</v>
      </c>
      <c r="K23" s="5">
        <f>J23*VLOOKUP(L23,Lookup_Performance!$A:$D,4,TRUE)</f>
        <v>8629.68</v>
      </c>
      <c r="L23">
        <v>88</v>
      </c>
      <c r="M23" t="str">
        <f>VLOOKUP(Table1[[#This Row],[Perf_Score]],Lookup_Performance!$A:$D,3,TRUE)</f>
        <v>Exceeding</v>
      </c>
      <c r="N23" t="s">
        <v>305</v>
      </c>
    </row>
    <row r="24" spans="2:14" x14ac:dyDescent="0.3">
      <c r="B24" t="s">
        <v>74</v>
      </c>
      <c r="C24" t="s">
        <v>43</v>
      </c>
      <c r="D24" t="s">
        <v>41</v>
      </c>
      <c r="E24" t="str">
        <f>TRIM(Table1[[#This Row],[First_Name]]&amp;" "&amp;Table1[[#This Row],[Last_Name]])</f>
        <v>Michael Rodriguez</v>
      </c>
      <c r="F24" t="s">
        <v>11</v>
      </c>
      <c r="G24" t="str">
        <f>VLOOKUP(Table1[[#This Row],[Dept Code]],Lookup_Departments!$A:$B,2,FALSE)</f>
        <v>Information Technology</v>
      </c>
      <c r="H24" s="4">
        <v>44815</v>
      </c>
      <c r="I24" s="6">
        <f ca="1">ROUND((TODAY()-Table1[[#This Row],[Hire Date]])/365.25,1)</f>
        <v>3.8</v>
      </c>
      <c r="J24" s="5">
        <v>93956</v>
      </c>
      <c r="K24" s="5">
        <f>J24*VLOOKUP(L24,Lookup_Performance!$A:$D,4,TRUE)</f>
        <v>1879.1200000000001</v>
      </c>
      <c r="L24">
        <v>50</v>
      </c>
      <c r="M24" t="str">
        <f>VLOOKUP(Table1[[#This Row],[Perf_Score]],Lookup_Performance!$A:$D,3,TRUE)</f>
        <v>Developing</v>
      </c>
      <c r="N24" t="s">
        <v>306</v>
      </c>
    </row>
    <row r="25" spans="2:14" x14ac:dyDescent="0.3">
      <c r="B25" t="s">
        <v>75</v>
      </c>
      <c r="C25" t="s">
        <v>39</v>
      </c>
      <c r="D25" t="s">
        <v>32</v>
      </c>
      <c r="E25" t="str">
        <f>TRIM(Table1[[#This Row],[First_Name]]&amp;" "&amp;Table1[[#This Row],[Last_Name]])</f>
        <v>Jessica Johnson</v>
      </c>
      <c r="F25" t="s">
        <v>26</v>
      </c>
      <c r="G25" t="str">
        <f>VLOOKUP(Table1[[#This Row],[Dept Code]],Lookup_Departments!$A:$B,2,FALSE)</f>
        <v>Finance</v>
      </c>
      <c r="H25" s="4">
        <v>42565</v>
      </c>
      <c r="I25" s="6">
        <f ca="1">ROUND((TODAY()-Table1[[#This Row],[Hire Date]])/365.25,1)</f>
        <v>10</v>
      </c>
      <c r="J25" s="5">
        <v>100851</v>
      </c>
      <c r="K25" s="5">
        <f>J25*VLOOKUP(L25,Lookup_Performance!$A:$D,4,TRUE)</f>
        <v>2017.02</v>
      </c>
      <c r="L25">
        <v>64</v>
      </c>
      <c r="M25" t="str">
        <f>VLOOKUP(Table1[[#This Row],[Perf_Score]],Lookup_Performance!$A:$D,3,TRUE)</f>
        <v>Developing</v>
      </c>
      <c r="N25" t="s">
        <v>305</v>
      </c>
    </row>
    <row r="26" spans="2:14" x14ac:dyDescent="0.3">
      <c r="B26" t="s">
        <v>77</v>
      </c>
      <c r="C26" t="s">
        <v>68</v>
      </c>
      <c r="D26" t="s">
        <v>54</v>
      </c>
      <c r="E26" t="str">
        <f>TRIM(Table1[[#This Row],[First_Name]]&amp;" "&amp;Table1[[#This Row],[Last_Name]])</f>
        <v>Ashley Williams</v>
      </c>
      <c r="F26" t="s">
        <v>44</v>
      </c>
      <c r="G26" t="str">
        <f>VLOOKUP(Table1[[#This Row],[Dept Code]],Lookup_Departments!$A:$B,2,FALSE)</f>
        <v>Sales</v>
      </c>
      <c r="H26" s="4">
        <v>44728</v>
      </c>
      <c r="I26" s="6">
        <f ca="1">ROUND((TODAY()-Table1[[#This Row],[Hire Date]])/365.25,1)</f>
        <v>4.0999999999999996</v>
      </c>
      <c r="J26" s="5">
        <v>68655</v>
      </c>
      <c r="K26" s="5">
        <f>J26*VLOOKUP(L26,Lookup_Performance!$A:$D,4,TRUE)</f>
        <v>0</v>
      </c>
      <c r="L26">
        <v>32</v>
      </c>
      <c r="M26" t="str">
        <f>VLOOKUP(Table1[[#This Row],[Perf_Score]],Lookup_Performance!$A:$D,3,TRUE)</f>
        <v>Needs Improvement</v>
      </c>
      <c r="N26" t="s">
        <v>305</v>
      </c>
    </row>
    <row r="27" spans="2:14" x14ac:dyDescent="0.3">
      <c r="B27" t="s">
        <v>78</v>
      </c>
      <c r="C27" t="s">
        <v>304</v>
      </c>
      <c r="D27" t="s">
        <v>54</v>
      </c>
      <c r="E27" t="str">
        <f>TRIM(Table1[[#This Row],[First_Name]]&amp;" "&amp;Table1[[#This Row],[Last_Name]])</f>
        <v>Unknown Williams</v>
      </c>
      <c r="F27" t="s">
        <v>44</v>
      </c>
      <c r="G27" t="str">
        <f>VLOOKUP(Table1[[#This Row],[Dept Code]],Lookup_Departments!$A:$B,2,FALSE)</f>
        <v>Sales</v>
      </c>
      <c r="H27" s="4">
        <v>45134</v>
      </c>
      <c r="I27" s="6">
        <f ca="1">ROUND((TODAY()-Table1[[#This Row],[Hire Date]])/365.25,1)</f>
        <v>3</v>
      </c>
      <c r="J27" s="5">
        <v>81205</v>
      </c>
      <c r="K27" s="5">
        <f>J27*VLOOKUP(L27,Lookup_Performance!$A:$D,4,TRUE)</f>
        <v>1624.1000000000001</v>
      </c>
      <c r="L27">
        <v>59</v>
      </c>
      <c r="M27" t="str">
        <f>VLOOKUP(Table1[[#This Row],[Perf_Score]],Lookup_Performance!$A:$D,3,TRUE)</f>
        <v>Developing</v>
      </c>
      <c r="N27" t="s">
        <v>305</v>
      </c>
    </row>
    <row r="28" spans="2:14" x14ac:dyDescent="0.3">
      <c r="B28" t="s">
        <v>80</v>
      </c>
      <c r="C28" t="s">
        <v>24</v>
      </c>
      <c r="D28" t="s">
        <v>36</v>
      </c>
      <c r="E28" t="str">
        <f>TRIM(Table1[[#This Row],[First_Name]]&amp;" "&amp;Table1[[#This Row],[Last_Name]])</f>
        <v>John Wilson</v>
      </c>
      <c r="F28" t="s">
        <v>44</v>
      </c>
      <c r="G28" t="str">
        <f>VLOOKUP(Table1[[#This Row],[Dept Code]],Lookup_Departments!$A:$B,2,FALSE)</f>
        <v>Sales</v>
      </c>
      <c r="H28" s="4">
        <v>43732</v>
      </c>
      <c r="I28" s="6">
        <f ca="1">ROUND((TODAY()-Table1[[#This Row],[Hire Date]])/365.25,1)</f>
        <v>6.8</v>
      </c>
      <c r="J28" s="5">
        <v>77610</v>
      </c>
      <c r="K28" s="5">
        <f>J28*VLOOKUP(L28,Lookup_Performance!$A:$D,4,TRUE)</f>
        <v>6208.8</v>
      </c>
      <c r="L28">
        <v>88</v>
      </c>
      <c r="M28" t="str">
        <f>VLOOKUP(Table1[[#This Row],[Perf_Score]],Lookup_Performance!$A:$D,3,TRUE)</f>
        <v>Exceeding</v>
      </c>
      <c r="N28" t="s">
        <v>305</v>
      </c>
    </row>
    <row r="29" spans="2:14" x14ac:dyDescent="0.3">
      <c r="B29" t="s">
        <v>83</v>
      </c>
      <c r="C29" t="s">
        <v>28</v>
      </c>
      <c r="D29" t="s">
        <v>41</v>
      </c>
      <c r="E29" t="str">
        <f>TRIM(Table1[[#This Row],[First_Name]]&amp;" "&amp;Table1[[#This Row],[Last_Name]])</f>
        <v>Thomas Rodriguez</v>
      </c>
      <c r="F29" t="s">
        <v>11</v>
      </c>
      <c r="G29" t="str">
        <f>VLOOKUP(Table1[[#This Row],[Dept Code]],Lookup_Departments!$A:$B,2,FALSE)</f>
        <v>Information Technology</v>
      </c>
      <c r="H29" s="4">
        <v>44765</v>
      </c>
      <c r="I29" s="6">
        <f ca="1">ROUND((TODAY()-Table1[[#This Row],[Hire Date]])/365.25,1)</f>
        <v>4</v>
      </c>
      <c r="J29" s="5">
        <v>50873</v>
      </c>
      <c r="K29" s="5">
        <f>J29*VLOOKUP(L29,Lookup_Performance!$A:$D,4,TRUE)</f>
        <v>4069.84</v>
      </c>
      <c r="L29">
        <v>90</v>
      </c>
      <c r="M29" t="str">
        <f>VLOOKUP(Table1[[#This Row],[Perf_Score]],Lookup_Performance!$A:$D,3,TRUE)</f>
        <v>Exceeding</v>
      </c>
      <c r="N29" t="s">
        <v>305</v>
      </c>
    </row>
    <row r="30" spans="2:14" x14ac:dyDescent="0.3">
      <c r="B30" t="s">
        <v>86</v>
      </c>
      <c r="C30" t="s">
        <v>43</v>
      </c>
      <c r="D30" t="s">
        <v>36</v>
      </c>
      <c r="E30" t="str">
        <f>TRIM(Table1[[#This Row],[First_Name]]&amp;" "&amp;Table1[[#This Row],[Last_Name]])</f>
        <v>Michael Wilson</v>
      </c>
      <c r="F30" t="s">
        <v>26</v>
      </c>
      <c r="G30" t="str">
        <f>VLOOKUP(Table1[[#This Row],[Dept Code]],Lookup_Departments!$A:$B,2,FALSE)</f>
        <v>Finance</v>
      </c>
      <c r="H30" s="4">
        <v>43233</v>
      </c>
      <c r="I30" s="6">
        <f ca="1">ROUND((TODAY()-Table1[[#This Row],[Hire Date]])/365.25,1)</f>
        <v>8.1999999999999993</v>
      </c>
      <c r="J30" s="5">
        <v>85312</v>
      </c>
      <c r="K30" s="5">
        <f>J30*VLOOKUP(L30,Lookup_Performance!$A:$D,4,TRUE)</f>
        <v>1706.24</v>
      </c>
      <c r="L30">
        <v>66</v>
      </c>
      <c r="M30" t="str">
        <f>VLOOKUP(Table1[[#This Row],[Perf_Score]],Lookup_Performance!$A:$D,3,TRUE)</f>
        <v>Developing</v>
      </c>
      <c r="N30" t="s">
        <v>305</v>
      </c>
    </row>
    <row r="31" spans="2:14" x14ac:dyDescent="0.3">
      <c r="B31" t="s">
        <v>89</v>
      </c>
      <c r="C31" t="s">
        <v>24</v>
      </c>
      <c r="D31" t="s">
        <v>41</v>
      </c>
      <c r="E31" t="str">
        <f>TRIM(Table1[[#This Row],[First_Name]]&amp;" "&amp;Table1[[#This Row],[Last_Name]])</f>
        <v>John Rodriguez</v>
      </c>
      <c r="F31" t="s">
        <v>44</v>
      </c>
      <c r="G31" t="str">
        <f>VLOOKUP(Table1[[#This Row],[Dept Code]],Lookup_Departments!$A:$B,2,FALSE)</f>
        <v>Sales</v>
      </c>
      <c r="H31" s="4">
        <v>42202</v>
      </c>
      <c r="I31" s="6">
        <f ca="1">ROUND((TODAY()-Table1[[#This Row],[Hire Date]])/365.25,1)</f>
        <v>11</v>
      </c>
      <c r="J31" s="5">
        <v>77610</v>
      </c>
      <c r="K31" s="5">
        <f>J31*VLOOKUP(L31,Lookup_Performance!$A:$D,4,TRUE)</f>
        <v>1552.2</v>
      </c>
      <c r="L31">
        <v>68</v>
      </c>
      <c r="M31" t="str">
        <f>VLOOKUP(Table1[[#This Row],[Perf_Score]],Lookup_Performance!$A:$D,3,TRUE)</f>
        <v>Developing</v>
      </c>
      <c r="N31" t="s">
        <v>305</v>
      </c>
    </row>
    <row r="32" spans="2:14" x14ac:dyDescent="0.3">
      <c r="B32" t="s">
        <v>90</v>
      </c>
      <c r="C32" t="s">
        <v>28</v>
      </c>
      <c r="D32" t="s">
        <v>15</v>
      </c>
      <c r="E32" t="str">
        <f>TRIM(Table1[[#This Row],[First_Name]]&amp;" "&amp;Table1[[#This Row],[Last_Name]])</f>
        <v>Thomas Hernandez</v>
      </c>
      <c r="F32" t="s">
        <v>33</v>
      </c>
      <c r="G32" t="str">
        <f>VLOOKUP(Table1[[#This Row],[Dept Code]],Lookup_Departments!$A:$B,2,FALSE)</f>
        <v>Operations</v>
      </c>
      <c r="H32" s="4">
        <v>42221</v>
      </c>
      <c r="I32" s="6">
        <f ca="1">ROUND((TODAY()-Table1[[#This Row],[Hire Date]])/365.25,1)</f>
        <v>10.9</v>
      </c>
      <c r="J32" s="5">
        <v>97055</v>
      </c>
      <c r="K32" s="5">
        <f>J32*VLOOKUP(L32,Lookup_Performance!$A:$D,4,TRUE)</f>
        <v>4852.75</v>
      </c>
      <c r="L32">
        <v>80</v>
      </c>
      <c r="M32" t="str">
        <f>VLOOKUP(Table1[[#This Row],[Perf_Score]],Lookup_Performance!$A:$D,3,TRUE)</f>
        <v>Achieving</v>
      </c>
      <c r="N32" t="s">
        <v>305</v>
      </c>
    </row>
    <row r="33" spans="2:14" x14ac:dyDescent="0.3">
      <c r="B33" t="s">
        <v>92</v>
      </c>
      <c r="C33" t="s">
        <v>43</v>
      </c>
      <c r="D33" t="s">
        <v>32</v>
      </c>
      <c r="E33" t="str">
        <f>TRIM(Table1[[#This Row],[First_Name]]&amp;" "&amp;Table1[[#This Row],[Last_Name]])</f>
        <v>Michael Johnson</v>
      </c>
      <c r="F33" t="s">
        <v>11</v>
      </c>
      <c r="G33" t="str">
        <f>VLOOKUP(Table1[[#This Row],[Dept Code]],Lookup_Departments!$A:$B,2,FALSE)</f>
        <v>Information Technology</v>
      </c>
      <c r="H33" s="4">
        <v>45195</v>
      </c>
      <c r="I33" s="6">
        <f ca="1">ROUND((TODAY()-Table1[[#This Row],[Hire Date]])/365.25,1)</f>
        <v>2.8</v>
      </c>
      <c r="J33" s="5">
        <v>66069</v>
      </c>
      <c r="K33" s="5">
        <f>J33*VLOOKUP(L33,Lookup_Performance!$A:$D,4,TRUE)</f>
        <v>3303.4500000000003</v>
      </c>
      <c r="L33">
        <v>72</v>
      </c>
      <c r="M33" t="str">
        <f>VLOOKUP(Table1[[#This Row],[Perf_Score]],Lookup_Performance!$A:$D,3,TRUE)</f>
        <v>Achieving</v>
      </c>
      <c r="N33" t="s">
        <v>305</v>
      </c>
    </row>
    <row r="34" spans="2:14" x14ac:dyDescent="0.3">
      <c r="B34" t="s">
        <v>93</v>
      </c>
      <c r="C34" t="s">
        <v>94</v>
      </c>
      <c r="D34" t="s">
        <v>10</v>
      </c>
      <c r="E34" t="str">
        <f>TRIM(Table1[[#This Row],[First_Name]]&amp;" "&amp;Table1[[#This Row],[Last_Name]])</f>
        <v>Sarah Brown</v>
      </c>
      <c r="F34" t="s">
        <v>11</v>
      </c>
      <c r="G34" t="str">
        <f>VLOOKUP(Table1[[#This Row],[Dept Code]],Lookup_Departments!$A:$B,2,FALSE)</f>
        <v>Information Technology</v>
      </c>
      <c r="H34" s="4">
        <v>43626</v>
      </c>
      <c r="I34" s="6">
        <f ca="1">ROUND((TODAY()-Table1[[#This Row],[Hire Date]])/365.25,1)</f>
        <v>7.1</v>
      </c>
      <c r="J34" s="5">
        <v>90157</v>
      </c>
      <c r="K34" s="5">
        <f>J34*VLOOKUP(L34,Lookup_Performance!$A:$D,4,TRUE)</f>
        <v>1803.14</v>
      </c>
      <c r="L34">
        <v>58</v>
      </c>
      <c r="M34" t="str">
        <f>VLOOKUP(Table1[[#This Row],[Perf_Score]],Lookup_Performance!$A:$D,3,TRUE)</f>
        <v>Developing</v>
      </c>
      <c r="N34" t="s">
        <v>305</v>
      </c>
    </row>
    <row r="35" spans="2:14" x14ac:dyDescent="0.3">
      <c r="B35" t="s">
        <v>96</v>
      </c>
      <c r="C35" t="s">
        <v>53</v>
      </c>
      <c r="D35" t="s">
        <v>25</v>
      </c>
      <c r="E35" t="str">
        <f>TRIM(Table1[[#This Row],[First_Name]]&amp;" "&amp;Table1[[#This Row],[Last_Name]])</f>
        <v>Jane Martinez</v>
      </c>
      <c r="F35" t="s">
        <v>97</v>
      </c>
      <c r="G35" t="str">
        <f>VLOOKUP(Table1[[#This Row],[Dept Code]],Lookup_Departments!$A:$B,2,FALSE)</f>
        <v>Human Resources</v>
      </c>
      <c r="H35" s="4">
        <v>44578</v>
      </c>
      <c r="I35" s="6">
        <f ca="1">ROUND((TODAY()-Table1[[#This Row],[Hire Date]])/365.25,1)</f>
        <v>4.5</v>
      </c>
      <c r="J35" s="5">
        <v>59899</v>
      </c>
      <c r="K35" s="5">
        <f>J35*VLOOKUP(L35,Lookup_Performance!$A:$D,4,TRUE)</f>
        <v>2994.9500000000003</v>
      </c>
      <c r="L35">
        <v>78</v>
      </c>
      <c r="M35" t="str">
        <f>VLOOKUP(Table1[[#This Row],[Perf_Score]],Lookup_Performance!$A:$D,3,TRUE)</f>
        <v>Achieving</v>
      </c>
      <c r="N35" t="s">
        <v>305</v>
      </c>
    </row>
    <row r="36" spans="2:14" x14ac:dyDescent="0.3">
      <c r="B36" t="s">
        <v>98</v>
      </c>
      <c r="C36" t="s">
        <v>9</v>
      </c>
      <c r="D36" t="s">
        <v>60</v>
      </c>
      <c r="E36" t="str">
        <f>TRIM(Table1[[#This Row],[First_Name]]&amp;" "&amp;Table1[[#This Row],[Last_Name]])</f>
        <v>Emily Jones</v>
      </c>
      <c r="F36" t="s">
        <v>26</v>
      </c>
      <c r="G36" t="str">
        <f>VLOOKUP(Table1[[#This Row],[Dept Code]],Lookup_Departments!$A:$B,2,FALSE)</f>
        <v>Finance</v>
      </c>
      <c r="H36" s="4">
        <v>42919</v>
      </c>
      <c r="I36" s="6">
        <f ca="1">ROUND((TODAY()-Table1[[#This Row],[Hire Date]])/365.25,1)</f>
        <v>9</v>
      </c>
      <c r="J36" s="5">
        <v>113389</v>
      </c>
      <c r="K36" s="5">
        <f>J36*VLOOKUP(L36,Lookup_Performance!$A:$D,4,TRUE)</f>
        <v>0</v>
      </c>
      <c r="L36">
        <v>30</v>
      </c>
      <c r="M36" t="str">
        <f>VLOOKUP(Table1[[#This Row],[Perf_Score]],Lookup_Performance!$A:$D,3,TRUE)</f>
        <v>Needs Improvement</v>
      </c>
      <c r="N36" t="s">
        <v>305</v>
      </c>
    </row>
    <row r="37" spans="2:14" x14ac:dyDescent="0.3">
      <c r="B37" t="s">
        <v>100</v>
      </c>
      <c r="C37" t="s">
        <v>304</v>
      </c>
      <c r="D37" t="s">
        <v>10</v>
      </c>
      <c r="E37" t="str">
        <f>TRIM(Table1[[#This Row],[First_Name]]&amp;" "&amp;Table1[[#This Row],[Last_Name]])</f>
        <v>Unknown Brown</v>
      </c>
      <c r="F37" t="s">
        <v>11</v>
      </c>
      <c r="G37" t="str">
        <f>VLOOKUP(Table1[[#This Row],[Dept Code]],Lookup_Departments!$A:$B,2,FALSE)</f>
        <v>Information Technology</v>
      </c>
      <c r="H37" s="4">
        <v>42248</v>
      </c>
      <c r="I37" s="6">
        <f ca="1">ROUND((TODAY()-Table1[[#This Row],[Hire Date]])/365.25,1)</f>
        <v>10.9</v>
      </c>
      <c r="J37" s="5">
        <v>102691</v>
      </c>
      <c r="K37" s="5">
        <f>J37*VLOOKUP(L37,Lookup_Performance!$A:$D,4,TRUE)</f>
        <v>2053.8200000000002</v>
      </c>
      <c r="L37">
        <v>52</v>
      </c>
      <c r="M37" t="str">
        <f>VLOOKUP(Table1[[#This Row],[Perf_Score]],Lookup_Performance!$A:$D,3,TRUE)</f>
        <v>Developing</v>
      </c>
      <c r="N37" t="s">
        <v>305</v>
      </c>
    </row>
    <row r="38" spans="2:14" x14ac:dyDescent="0.3">
      <c r="B38" t="s">
        <v>102</v>
      </c>
      <c r="C38" t="s">
        <v>24</v>
      </c>
      <c r="D38" t="s">
        <v>36</v>
      </c>
      <c r="E38" t="str">
        <f>TRIM(Table1[[#This Row],[First_Name]]&amp;" "&amp;Table1[[#This Row],[Last_Name]])</f>
        <v>John Wilson</v>
      </c>
      <c r="F38" t="s">
        <v>33</v>
      </c>
      <c r="G38" t="str">
        <f>VLOOKUP(Table1[[#This Row],[Dept Code]],Lookup_Departments!$A:$B,2,FALSE)</f>
        <v>Operations</v>
      </c>
      <c r="H38" s="4">
        <v>44776</v>
      </c>
      <c r="I38" s="6">
        <f ca="1">ROUND((TODAY()-Table1[[#This Row],[Hire Date]])/365.25,1)</f>
        <v>3.9</v>
      </c>
      <c r="J38" s="5">
        <v>111845</v>
      </c>
      <c r="K38" s="5">
        <f>J38*VLOOKUP(L38,Lookup_Performance!$A:$D,4,TRUE)</f>
        <v>13421.4</v>
      </c>
      <c r="L38">
        <v>98</v>
      </c>
      <c r="M38" t="str">
        <f>VLOOKUP(Table1[[#This Row],[Perf_Score]],Lookup_Performance!$A:$D,3,TRUE)</f>
        <v>Outstanding</v>
      </c>
      <c r="N38" t="s">
        <v>305</v>
      </c>
    </row>
    <row r="39" spans="2:14" x14ac:dyDescent="0.3">
      <c r="B39" t="s">
        <v>104</v>
      </c>
      <c r="C39" t="s">
        <v>105</v>
      </c>
      <c r="D39" t="s">
        <v>10</v>
      </c>
      <c r="E39" t="str">
        <f>TRIM(Table1[[#This Row],[First_Name]]&amp;" "&amp;Table1[[#This Row],[Last_Name]])</f>
        <v>Melissa Brown</v>
      </c>
      <c r="F39" t="s">
        <v>44</v>
      </c>
      <c r="G39" t="str">
        <f>VLOOKUP(Table1[[#This Row],[Dept Code]],Lookup_Departments!$A:$B,2,FALSE)</f>
        <v>Sales</v>
      </c>
      <c r="H39" s="4">
        <v>44741</v>
      </c>
      <c r="I39" s="6">
        <f ca="1">ROUND((TODAY()-Table1[[#This Row],[Hire Date]])/365.25,1)</f>
        <v>4</v>
      </c>
      <c r="J39" s="5">
        <v>69219</v>
      </c>
      <c r="K39" s="5">
        <f>J39*VLOOKUP(L39,Lookup_Performance!$A:$D,4,TRUE)</f>
        <v>5537.52</v>
      </c>
      <c r="L39">
        <v>93</v>
      </c>
      <c r="M39" t="str">
        <f>VLOOKUP(Table1[[#This Row],[Perf_Score]],Lookup_Performance!$A:$D,3,TRUE)</f>
        <v>Exceeding</v>
      </c>
      <c r="N39" t="s">
        <v>305</v>
      </c>
    </row>
    <row r="40" spans="2:14" x14ac:dyDescent="0.3">
      <c r="B40" t="s">
        <v>107</v>
      </c>
      <c r="C40" t="s">
        <v>43</v>
      </c>
      <c r="D40" t="s">
        <v>29</v>
      </c>
      <c r="E40" t="str">
        <f>TRIM(Table1[[#This Row],[First_Name]]&amp;" "&amp;Table1[[#This Row],[Last_Name]])</f>
        <v>Michael Smith</v>
      </c>
      <c r="F40" t="s">
        <v>26</v>
      </c>
      <c r="G40" t="str">
        <f>VLOOKUP(Table1[[#This Row],[Dept Code]],Lookup_Departments!$A:$B,2,FALSE)</f>
        <v>Finance</v>
      </c>
      <c r="H40" s="4">
        <v>43949</v>
      </c>
      <c r="I40" s="6">
        <f ca="1">ROUND((TODAY()-Table1[[#This Row],[Hire Date]])/365.25,1)</f>
        <v>6.2</v>
      </c>
      <c r="J40" s="5">
        <v>85457</v>
      </c>
      <c r="K40" s="5">
        <f>J40*VLOOKUP(L40,Lookup_Performance!$A:$D,4,TRUE)</f>
        <v>4272.8500000000004</v>
      </c>
      <c r="L40">
        <v>80</v>
      </c>
      <c r="M40" t="str">
        <f>VLOOKUP(Table1[[#This Row],[Perf_Score]],Lookup_Performance!$A:$D,3,TRUE)</f>
        <v>Achieving</v>
      </c>
      <c r="N40" t="s">
        <v>306</v>
      </c>
    </row>
    <row r="41" spans="2:14" x14ac:dyDescent="0.3">
      <c r="B41" t="s">
        <v>109</v>
      </c>
      <c r="C41" t="s">
        <v>94</v>
      </c>
      <c r="D41" t="s">
        <v>47</v>
      </c>
      <c r="E41" t="str">
        <f>TRIM(Table1[[#This Row],[First_Name]]&amp;" "&amp;Table1[[#This Row],[Last_Name]])</f>
        <v>Sarah Miller</v>
      </c>
      <c r="F41" t="s">
        <v>33</v>
      </c>
      <c r="G41" t="str">
        <f>VLOOKUP(Table1[[#This Row],[Dept Code]],Lookup_Departments!$A:$B,2,FALSE)</f>
        <v>Operations</v>
      </c>
      <c r="H41" s="4">
        <v>42987</v>
      </c>
      <c r="I41" s="6">
        <f ca="1">ROUND((TODAY()-Table1[[#This Row],[Hire Date]])/365.25,1)</f>
        <v>8.8000000000000007</v>
      </c>
      <c r="J41" s="5">
        <v>57514</v>
      </c>
      <c r="K41" s="5">
        <f>J41*VLOOKUP(L41,Lookup_Performance!$A:$D,4,TRUE)</f>
        <v>2875.7000000000003</v>
      </c>
      <c r="L41">
        <v>72</v>
      </c>
      <c r="M41" t="str">
        <f>VLOOKUP(Table1[[#This Row],[Perf_Score]],Lookup_Performance!$A:$D,3,TRUE)</f>
        <v>Achieving</v>
      </c>
      <c r="N41" t="s">
        <v>305</v>
      </c>
    </row>
    <row r="42" spans="2:14" x14ac:dyDescent="0.3">
      <c r="B42" t="s">
        <v>111</v>
      </c>
      <c r="C42" t="s">
        <v>9</v>
      </c>
      <c r="D42" t="s">
        <v>36</v>
      </c>
      <c r="E42" t="str">
        <f>TRIM(Table1[[#This Row],[First_Name]]&amp;" "&amp;Table1[[#This Row],[Last_Name]])</f>
        <v>Emily Wilson</v>
      </c>
      <c r="F42" t="s">
        <v>44</v>
      </c>
      <c r="G42" t="str">
        <f>VLOOKUP(Table1[[#This Row],[Dept Code]],Lookup_Departments!$A:$B,2,FALSE)</f>
        <v>Sales</v>
      </c>
      <c r="H42" s="4">
        <v>43181</v>
      </c>
      <c r="I42" s="6">
        <f ca="1">ROUND((TODAY()-Table1[[#This Row],[Hire Date]])/365.25,1)</f>
        <v>8.3000000000000007</v>
      </c>
      <c r="J42" s="5">
        <v>86245</v>
      </c>
      <c r="K42" s="5">
        <f>J42*VLOOKUP(L42,Lookup_Performance!$A:$D,4,TRUE)</f>
        <v>4312.25</v>
      </c>
      <c r="L42">
        <v>71</v>
      </c>
      <c r="M42" t="str">
        <f>VLOOKUP(Table1[[#This Row],[Perf_Score]],Lookup_Performance!$A:$D,3,TRUE)</f>
        <v>Achieving</v>
      </c>
      <c r="N42" t="s">
        <v>306</v>
      </c>
    </row>
    <row r="43" spans="2:14" x14ac:dyDescent="0.3">
      <c r="B43" t="s">
        <v>112</v>
      </c>
      <c r="C43" t="s">
        <v>113</v>
      </c>
      <c r="D43" t="s">
        <v>15</v>
      </c>
      <c r="E43" t="str">
        <f>TRIM(Table1[[#This Row],[First_Name]]&amp;" "&amp;Table1[[#This Row],[Last_Name]])</f>
        <v>David Hernandez</v>
      </c>
      <c r="F43" t="s">
        <v>44</v>
      </c>
      <c r="G43" t="str">
        <f>VLOOKUP(Table1[[#This Row],[Dept Code]],Lookup_Departments!$A:$B,2,FALSE)</f>
        <v>Sales</v>
      </c>
      <c r="H43" s="4">
        <v>43958</v>
      </c>
      <c r="I43" s="6">
        <f ca="1">ROUND((TODAY()-Table1[[#This Row],[Hire Date]])/365.25,1)</f>
        <v>6.2</v>
      </c>
      <c r="J43" s="5">
        <v>52407</v>
      </c>
      <c r="K43" s="5">
        <f>J43*VLOOKUP(L43,Lookup_Performance!$A:$D,4,TRUE)</f>
        <v>1048.1400000000001</v>
      </c>
      <c r="L43">
        <v>55</v>
      </c>
      <c r="M43" t="str">
        <f>VLOOKUP(Table1[[#This Row],[Perf_Score]],Lookup_Performance!$A:$D,3,TRUE)</f>
        <v>Developing</v>
      </c>
      <c r="N43" t="s">
        <v>305</v>
      </c>
    </row>
    <row r="44" spans="2:14" x14ac:dyDescent="0.3">
      <c r="B44" t="s">
        <v>114</v>
      </c>
      <c r="C44" t="s">
        <v>66</v>
      </c>
      <c r="D44" t="s">
        <v>29</v>
      </c>
      <c r="E44" t="str">
        <f>TRIM(Table1[[#This Row],[First_Name]]&amp;" "&amp;Table1[[#This Row],[Last_Name]])</f>
        <v>James Smith</v>
      </c>
      <c r="F44" t="s">
        <v>33</v>
      </c>
      <c r="G44" t="str">
        <f>VLOOKUP(Table1[[#This Row],[Dept Code]],Lookup_Departments!$A:$B,2,FALSE)</f>
        <v>Operations</v>
      </c>
      <c r="H44" s="4">
        <v>43549</v>
      </c>
      <c r="I44" s="6">
        <f ca="1">ROUND((TODAY()-Table1[[#This Row],[Hire Date]])/365.25,1)</f>
        <v>7.3</v>
      </c>
      <c r="J44" s="5">
        <v>66606</v>
      </c>
      <c r="K44" s="5">
        <f>J44*VLOOKUP(L44,Lookup_Performance!$A:$D,4,TRUE)</f>
        <v>5328.4800000000005</v>
      </c>
      <c r="L44">
        <v>93</v>
      </c>
      <c r="M44" t="str">
        <f>VLOOKUP(Table1[[#This Row],[Perf_Score]],Lookup_Performance!$A:$D,3,TRUE)</f>
        <v>Exceeding</v>
      </c>
      <c r="N44" t="s">
        <v>307</v>
      </c>
    </row>
    <row r="45" spans="2:14" x14ac:dyDescent="0.3">
      <c r="B45" t="s">
        <v>117</v>
      </c>
      <c r="C45" t="s">
        <v>94</v>
      </c>
      <c r="D45" t="s">
        <v>54</v>
      </c>
      <c r="E45" t="str">
        <f>TRIM(Table1[[#This Row],[First_Name]]&amp;" "&amp;Table1[[#This Row],[Last_Name]])</f>
        <v>Sarah Williams</v>
      </c>
      <c r="F45" t="s">
        <v>11</v>
      </c>
      <c r="G45" t="str">
        <f>VLOOKUP(Table1[[#This Row],[Dept Code]],Lookup_Departments!$A:$B,2,FALSE)</f>
        <v>Information Technology</v>
      </c>
      <c r="H45" s="4">
        <v>43686</v>
      </c>
      <c r="I45" s="6">
        <f ca="1">ROUND((TODAY()-Table1[[#This Row],[Hire Date]])/365.25,1)</f>
        <v>6.9</v>
      </c>
      <c r="J45" s="5">
        <v>81896</v>
      </c>
      <c r="K45" s="5">
        <f>J45*VLOOKUP(L45,Lookup_Performance!$A:$D,4,TRUE)</f>
        <v>4094.8</v>
      </c>
      <c r="L45">
        <v>79</v>
      </c>
      <c r="M45" t="str">
        <f>VLOOKUP(Table1[[#This Row],[Perf_Score]],Lookup_Performance!$A:$D,3,TRUE)</f>
        <v>Achieving</v>
      </c>
      <c r="N45" t="s">
        <v>307</v>
      </c>
    </row>
    <row r="46" spans="2:14" x14ac:dyDescent="0.3">
      <c r="B46" t="s">
        <v>118</v>
      </c>
      <c r="C46" t="s">
        <v>71</v>
      </c>
      <c r="D46" t="s">
        <v>69</v>
      </c>
      <c r="E46" t="str">
        <f>TRIM(Table1[[#This Row],[First_Name]]&amp;" "&amp;Table1[[#This Row],[Last_Name]])</f>
        <v>Amanda Lopez</v>
      </c>
      <c r="F46" t="s">
        <v>44</v>
      </c>
      <c r="G46" t="str">
        <f>VLOOKUP(Table1[[#This Row],[Dept Code]],Lookup_Departments!$A:$B,2,FALSE)</f>
        <v>Sales</v>
      </c>
      <c r="H46" s="4">
        <v>42565</v>
      </c>
      <c r="I46" s="6">
        <f ca="1">ROUND((TODAY()-Table1[[#This Row],[Hire Date]])/365.25,1)</f>
        <v>10</v>
      </c>
      <c r="J46" s="5">
        <v>78402</v>
      </c>
      <c r="K46" s="5">
        <f>J46*VLOOKUP(L46,Lookup_Performance!$A:$D,4,TRUE)</f>
        <v>1568.04</v>
      </c>
      <c r="L46">
        <v>54</v>
      </c>
      <c r="M46" t="str">
        <f>VLOOKUP(Table1[[#This Row],[Perf_Score]],Lookup_Performance!$A:$D,3,TRUE)</f>
        <v>Developing</v>
      </c>
      <c r="N46" t="s">
        <v>305</v>
      </c>
    </row>
    <row r="47" spans="2:14" x14ac:dyDescent="0.3">
      <c r="B47" t="s">
        <v>120</v>
      </c>
      <c r="C47" t="s">
        <v>28</v>
      </c>
      <c r="D47" t="s">
        <v>69</v>
      </c>
      <c r="E47" t="str">
        <f>TRIM(Table1[[#This Row],[First_Name]]&amp;" "&amp;Table1[[#This Row],[Last_Name]])</f>
        <v>Thomas Lopez</v>
      </c>
      <c r="F47" t="s">
        <v>33</v>
      </c>
      <c r="G47" t="str">
        <f>VLOOKUP(Table1[[#This Row],[Dept Code]],Lookup_Departments!$A:$B,2,FALSE)</f>
        <v>Operations</v>
      </c>
      <c r="H47" s="4">
        <v>42647</v>
      </c>
      <c r="I47" s="6">
        <f ca="1">ROUND((TODAY()-Table1[[#This Row],[Hire Date]])/365.25,1)</f>
        <v>9.8000000000000007</v>
      </c>
      <c r="J47" s="5">
        <v>105498</v>
      </c>
      <c r="K47" s="5">
        <f>J47*VLOOKUP(L47,Lookup_Performance!$A:$D,4,TRUE)</f>
        <v>5274.9000000000005</v>
      </c>
      <c r="L47">
        <v>76</v>
      </c>
      <c r="M47" t="str">
        <f>VLOOKUP(Table1[[#This Row],[Perf_Score]],Lookup_Performance!$A:$D,3,TRUE)</f>
        <v>Achieving</v>
      </c>
      <c r="N47" t="s">
        <v>305</v>
      </c>
    </row>
    <row r="48" spans="2:14" x14ac:dyDescent="0.3">
      <c r="B48" t="s">
        <v>121</v>
      </c>
      <c r="C48" t="s">
        <v>105</v>
      </c>
      <c r="D48" t="s">
        <v>32</v>
      </c>
      <c r="E48" t="str">
        <f>TRIM(Table1[[#This Row],[First_Name]]&amp;" "&amp;Table1[[#This Row],[Last_Name]])</f>
        <v>Melissa Johnson</v>
      </c>
      <c r="F48" t="s">
        <v>16</v>
      </c>
      <c r="G48" t="str">
        <f>VLOOKUP(Table1[[#This Row],[Dept Code]],Lookup_Departments!$A:$B,2,FALSE)</f>
        <v>Marketing</v>
      </c>
      <c r="H48" s="4">
        <v>43656</v>
      </c>
      <c r="I48" s="6">
        <f ca="1">ROUND((TODAY()-Table1[[#This Row],[Hire Date]])/365.25,1)</f>
        <v>7</v>
      </c>
      <c r="J48" s="5">
        <v>91749</v>
      </c>
      <c r="K48" s="5">
        <f>J48*VLOOKUP(L48,Lookup_Performance!$A:$D,4,TRUE)</f>
        <v>4587.45</v>
      </c>
      <c r="L48">
        <v>72</v>
      </c>
      <c r="M48" t="str">
        <f>VLOOKUP(Table1[[#This Row],[Perf_Score]],Lookup_Performance!$A:$D,3,TRUE)</f>
        <v>Achieving</v>
      </c>
      <c r="N48" t="s">
        <v>306</v>
      </c>
    </row>
    <row r="49" spans="2:14" x14ac:dyDescent="0.3">
      <c r="B49" t="s">
        <v>123</v>
      </c>
      <c r="C49" t="s">
        <v>71</v>
      </c>
      <c r="D49" t="s">
        <v>32</v>
      </c>
      <c r="E49" t="str">
        <f>TRIM(Table1[[#This Row],[First_Name]]&amp;" "&amp;Table1[[#This Row],[Last_Name]])</f>
        <v>Amanda Johnson</v>
      </c>
      <c r="F49" t="s">
        <v>33</v>
      </c>
      <c r="G49" t="str">
        <f>VLOOKUP(Table1[[#This Row],[Dept Code]],Lookup_Departments!$A:$B,2,FALSE)</f>
        <v>Operations</v>
      </c>
      <c r="H49" s="4">
        <v>44437</v>
      </c>
      <c r="I49" s="6">
        <f ca="1">ROUND((TODAY()-Table1[[#This Row],[Hire Date]])/365.25,1)</f>
        <v>4.9000000000000004</v>
      </c>
      <c r="J49" s="5">
        <v>99935</v>
      </c>
      <c r="K49" s="5">
        <f>J49*VLOOKUP(L49,Lookup_Performance!$A:$D,4,TRUE)</f>
        <v>4996.75</v>
      </c>
      <c r="L49">
        <v>84</v>
      </c>
      <c r="M49" t="str">
        <f>VLOOKUP(Table1[[#This Row],[Perf_Score]],Lookup_Performance!$A:$D,3,TRUE)</f>
        <v>Achieving</v>
      </c>
      <c r="N49" t="s">
        <v>307</v>
      </c>
    </row>
    <row r="50" spans="2:14" x14ac:dyDescent="0.3">
      <c r="B50" t="s">
        <v>124</v>
      </c>
      <c r="C50" t="s">
        <v>24</v>
      </c>
      <c r="D50" t="s">
        <v>64</v>
      </c>
      <c r="E50" t="str">
        <f>TRIM(Table1[[#This Row],[First_Name]]&amp;" "&amp;Table1[[#This Row],[Last_Name]])</f>
        <v>John Davis</v>
      </c>
      <c r="F50" t="s">
        <v>11</v>
      </c>
      <c r="G50" t="str">
        <f>VLOOKUP(Table1[[#This Row],[Dept Code]],Lookup_Departments!$A:$B,2,FALSE)</f>
        <v>Information Technology</v>
      </c>
      <c r="H50" s="4">
        <v>42761</v>
      </c>
      <c r="I50" s="6">
        <f ca="1">ROUND((TODAY()-Table1[[#This Row],[Hire Date]])/365.25,1)</f>
        <v>9.4</v>
      </c>
      <c r="J50" s="5">
        <v>83531</v>
      </c>
      <c r="K50" s="5">
        <f>J50*VLOOKUP(L50,Lookup_Performance!$A:$D,4,TRUE)</f>
        <v>0</v>
      </c>
      <c r="L50">
        <v>30</v>
      </c>
      <c r="M50" t="str">
        <f>VLOOKUP(Table1[[#This Row],[Perf_Score]],Lookup_Performance!$A:$D,3,TRUE)</f>
        <v>Needs Improvement</v>
      </c>
      <c r="N50" t="s">
        <v>306</v>
      </c>
    </row>
    <row r="51" spans="2:14" x14ac:dyDescent="0.3">
      <c r="B51" t="s">
        <v>125</v>
      </c>
      <c r="C51" t="s">
        <v>66</v>
      </c>
      <c r="D51" t="s">
        <v>32</v>
      </c>
      <c r="E51" t="str">
        <f>TRIM(Table1[[#This Row],[First_Name]]&amp;" "&amp;Table1[[#This Row],[Last_Name]])</f>
        <v>James Johnson</v>
      </c>
      <c r="F51" t="s">
        <v>16</v>
      </c>
      <c r="G51" t="str">
        <f>VLOOKUP(Table1[[#This Row],[Dept Code]],Lookup_Departments!$A:$B,2,FALSE)</f>
        <v>Marketing</v>
      </c>
      <c r="H51" s="4">
        <v>43981</v>
      </c>
      <c r="I51" s="6">
        <f ca="1">ROUND((TODAY()-Table1[[#This Row],[Hire Date]])/365.25,1)</f>
        <v>6.1</v>
      </c>
      <c r="J51" s="5">
        <v>75023</v>
      </c>
      <c r="K51" s="5">
        <f>J51*VLOOKUP(L51,Lookup_Performance!$A:$D,4,TRUE)</f>
        <v>3751.15</v>
      </c>
      <c r="L51">
        <v>74</v>
      </c>
      <c r="M51" t="str">
        <f>VLOOKUP(Table1[[#This Row],[Perf_Score]],Lookup_Performance!$A:$D,3,TRUE)</f>
        <v>Achieving</v>
      </c>
      <c r="N51" t="s">
        <v>305</v>
      </c>
    </row>
    <row r="52" spans="2:14" x14ac:dyDescent="0.3">
      <c r="B52" t="s">
        <v>127</v>
      </c>
      <c r="C52" t="s">
        <v>53</v>
      </c>
      <c r="D52" t="s">
        <v>64</v>
      </c>
      <c r="E52" t="str">
        <f>TRIM(Table1[[#This Row],[First_Name]]&amp;" "&amp;Table1[[#This Row],[Last_Name]])</f>
        <v>Jane Davis</v>
      </c>
      <c r="F52" t="s">
        <v>97</v>
      </c>
      <c r="G52" t="str">
        <f>VLOOKUP(Table1[[#This Row],[Dept Code]],Lookup_Departments!$A:$B,2,FALSE)</f>
        <v>Human Resources</v>
      </c>
      <c r="H52" s="4">
        <v>44612</v>
      </c>
      <c r="I52" s="6">
        <f ca="1">ROUND((TODAY()-Table1[[#This Row],[Hire Date]])/365.25,1)</f>
        <v>4.4000000000000004</v>
      </c>
      <c r="J52" s="5">
        <v>93290</v>
      </c>
      <c r="K52" s="5">
        <f>J52*VLOOKUP(L52,Lookup_Performance!$A:$D,4,TRUE)</f>
        <v>1865.8</v>
      </c>
      <c r="L52">
        <v>53</v>
      </c>
      <c r="M52" t="str">
        <f>VLOOKUP(Table1[[#This Row],[Perf_Score]],Lookup_Performance!$A:$D,3,TRUE)</f>
        <v>Developing</v>
      </c>
      <c r="N52" t="s">
        <v>305</v>
      </c>
    </row>
    <row r="53" spans="2:14" x14ac:dyDescent="0.3">
      <c r="B53" t="s">
        <v>128</v>
      </c>
      <c r="C53" t="s">
        <v>14</v>
      </c>
      <c r="D53" t="s">
        <v>64</v>
      </c>
      <c r="E53" t="str">
        <f>TRIM(Table1[[#This Row],[First_Name]]&amp;" "&amp;Table1[[#This Row],[Last_Name]])</f>
        <v>Richard Davis</v>
      </c>
      <c r="F53" t="s">
        <v>33</v>
      </c>
      <c r="G53" t="str">
        <f>VLOOKUP(Table1[[#This Row],[Dept Code]],Lookup_Departments!$A:$B,2,FALSE)</f>
        <v>Operations</v>
      </c>
      <c r="H53" s="4">
        <v>42628</v>
      </c>
      <c r="I53" s="6">
        <f ca="1">ROUND((TODAY()-Table1[[#This Row],[Hire Date]])/365.25,1)</f>
        <v>9.8000000000000007</v>
      </c>
      <c r="J53" s="5">
        <v>115527</v>
      </c>
      <c r="K53" s="5">
        <f>J53*VLOOKUP(L53,Lookup_Performance!$A:$D,4,TRUE)</f>
        <v>2310.54</v>
      </c>
      <c r="L53">
        <v>63</v>
      </c>
      <c r="M53" t="str">
        <f>VLOOKUP(Table1[[#This Row],[Perf_Score]],Lookup_Performance!$A:$D,3,TRUE)</f>
        <v>Developing</v>
      </c>
      <c r="N53" t="s">
        <v>307</v>
      </c>
    </row>
    <row r="54" spans="2:14" x14ac:dyDescent="0.3">
      <c r="B54" t="s">
        <v>129</v>
      </c>
      <c r="C54" t="s">
        <v>28</v>
      </c>
      <c r="D54" t="s">
        <v>41</v>
      </c>
      <c r="E54" t="str">
        <f>TRIM(Table1[[#This Row],[First_Name]]&amp;" "&amp;Table1[[#This Row],[Last_Name]])</f>
        <v>Thomas Rodriguez</v>
      </c>
      <c r="F54" t="s">
        <v>26</v>
      </c>
      <c r="G54" t="str">
        <f>VLOOKUP(Table1[[#This Row],[Dept Code]],Lookup_Departments!$A:$B,2,FALSE)</f>
        <v>Finance</v>
      </c>
      <c r="H54" s="4">
        <v>43745</v>
      </c>
      <c r="I54" s="6">
        <f ca="1">ROUND((TODAY()-Table1[[#This Row],[Hire Date]])/365.25,1)</f>
        <v>6.8</v>
      </c>
      <c r="J54" s="5">
        <v>55920</v>
      </c>
      <c r="K54" s="5">
        <f>J54*VLOOKUP(L54,Lookup_Performance!$A:$D,4,TRUE)</f>
        <v>2796</v>
      </c>
      <c r="L54">
        <v>84</v>
      </c>
      <c r="M54" t="str">
        <f>VLOOKUP(Table1[[#This Row],[Perf_Score]],Lookup_Performance!$A:$D,3,TRUE)</f>
        <v>Achieving</v>
      </c>
      <c r="N54" t="s">
        <v>305</v>
      </c>
    </row>
    <row r="55" spans="2:14" x14ac:dyDescent="0.3">
      <c r="B55" t="s">
        <v>131</v>
      </c>
      <c r="C55" t="s">
        <v>9</v>
      </c>
      <c r="D55" t="s">
        <v>32</v>
      </c>
      <c r="E55" t="str">
        <f>TRIM(Table1[[#This Row],[First_Name]]&amp;" "&amp;Table1[[#This Row],[Last_Name]])</f>
        <v>Emily Johnson</v>
      </c>
      <c r="F55" t="s">
        <v>44</v>
      </c>
      <c r="G55" t="str">
        <f>VLOOKUP(Table1[[#This Row],[Dept Code]],Lookup_Departments!$A:$B,2,FALSE)</f>
        <v>Sales</v>
      </c>
      <c r="H55" s="4">
        <v>43464</v>
      </c>
      <c r="I55" s="6">
        <f ca="1">ROUND((TODAY()-Table1[[#This Row],[Hire Date]])/365.25,1)</f>
        <v>7.5</v>
      </c>
      <c r="J55" s="5">
        <v>80189</v>
      </c>
      <c r="K55" s="5">
        <f>J55*VLOOKUP(L55,Lookup_Performance!$A:$D,4,TRUE)</f>
        <v>0</v>
      </c>
      <c r="L55">
        <v>30</v>
      </c>
      <c r="M55" t="str">
        <f>VLOOKUP(Table1[[#This Row],[Perf_Score]],Lookup_Performance!$A:$D,3,TRUE)</f>
        <v>Needs Improvement</v>
      </c>
      <c r="N55" t="s">
        <v>305</v>
      </c>
    </row>
    <row r="56" spans="2:14" x14ac:dyDescent="0.3">
      <c r="B56" t="s">
        <v>132</v>
      </c>
      <c r="C56" t="s">
        <v>9</v>
      </c>
      <c r="D56" t="s">
        <v>133</v>
      </c>
      <c r="E56" t="str">
        <f>TRIM(Table1[[#This Row],[First_Name]]&amp;" "&amp;Table1[[#This Row],[Last_Name]])</f>
        <v>Emily Garcia</v>
      </c>
      <c r="F56" t="s">
        <v>97</v>
      </c>
      <c r="G56" t="str">
        <f>VLOOKUP(Table1[[#This Row],[Dept Code]],Lookup_Departments!$A:$B,2,FALSE)</f>
        <v>Human Resources</v>
      </c>
      <c r="H56" s="4">
        <v>44189</v>
      </c>
      <c r="I56" s="6">
        <f ca="1">ROUND((TODAY()-Table1[[#This Row],[Hire Date]])/365.25,1)</f>
        <v>5.5</v>
      </c>
      <c r="J56" s="5">
        <v>118947</v>
      </c>
      <c r="K56" s="5">
        <f>J56*VLOOKUP(L56,Lookup_Performance!$A:$D,4,TRUE)</f>
        <v>14273.64</v>
      </c>
      <c r="L56">
        <v>96</v>
      </c>
      <c r="M56" t="str">
        <f>VLOOKUP(Table1[[#This Row],[Perf_Score]],Lookup_Performance!$A:$D,3,TRUE)</f>
        <v>Outstanding</v>
      </c>
      <c r="N56" t="s">
        <v>305</v>
      </c>
    </row>
    <row r="57" spans="2:14" x14ac:dyDescent="0.3">
      <c r="B57" t="s">
        <v>134</v>
      </c>
      <c r="C57" t="s">
        <v>53</v>
      </c>
      <c r="D57" t="s">
        <v>135</v>
      </c>
      <c r="E57" t="str">
        <f>TRIM(Table1[[#This Row],[First_Name]]&amp;" "&amp;Table1[[#This Row],[Last_Name]])</f>
        <v>Jane Anderson</v>
      </c>
      <c r="F57" t="s">
        <v>11</v>
      </c>
      <c r="G57" t="str">
        <f>VLOOKUP(Table1[[#This Row],[Dept Code]],Lookup_Departments!$A:$B,2,FALSE)</f>
        <v>Information Technology</v>
      </c>
      <c r="H57" s="4">
        <v>45112</v>
      </c>
      <c r="I57" s="6">
        <f ca="1">ROUND((TODAY()-Table1[[#This Row],[Hire Date]])/365.25,1)</f>
        <v>3</v>
      </c>
      <c r="J57" s="5">
        <v>76218.5</v>
      </c>
      <c r="K57" s="5">
        <f>J57*VLOOKUP(L57,Lookup_Performance!$A:$D,4,TRUE)</f>
        <v>1524.3700000000001</v>
      </c>
      <c r="L57">
        <v>54</v>
      </c>
      <c r="M57" t="str">
        <f>VLOOKUP(Table1[[#This Row],[Perf_Score]],Lookup_Performance!$A:$D,3,TRUE)</f>
        <v>Developing</v>
      </c>
      <c r="N57" t="s">
        <v>305</v>
      </c>
    </row>
    <row r="58" spans="2:14" x14ac:dyDescent="0.3">
      <c r="B58" t="s">
        <v>136</v>
      </c>
      <c r="C58" t="s">
        <v>28</v>
      </c>
      <c r="D58" t="s">
        <v>133</v>
      </c>
      <c r="E58" t="str">
        <f>TRIM(Table1[[#This Row],[First_Name]]&amp;" "&amp;Table1[[#This Row],[Last_Name]])</f>
        <v>Thomas Garcia</v>
      </c>
      <c r="F58" t="s">
        <v>33</v>
      </c>
      <c r="G58" t="str">
        <f>VLOOKUP(Table1[[#This Row],[Dept Code]],Lookup_Departments!$A:$B,2,FALSE)</f>
        <v>Operations</v>
      </c>
      <c r="H58" s="4">
        <v>44148</v>
      </c>
      <c r="I58" s="6">
        <f ca="1">ROUND((TODAY()-Table1[[#This Row],[Hire Date]])/365.25,1)</f>
        <v>5.7</v>
      </c>
      <c r="J58" s="5">
        <v>68683</v>
      </c>
      <c r="K58" s="5">
        <f>J58*VLOOKUP(L58,Lookup_Performance!$A:$D,4,TRUE)</f>
        <v>3434.15</v>
      </c>
      <c r="L58">
        <v>75</v>
      </c>
      <c r="M58" t="str">
        <f>VLOOKUP(Table1[[#This Row],[Perf_Score]],Lookup_Performance!$A:$D,3,TRUE)</f>
        <v>Achieving</v>
      </c>
      <c r="N58" t="s">
        <v>305</v>
      </c>
    </row>
    <row r="59" spans="2:14" x14ac:dyDescent="0.3">
      <c r="B59" t="s">
        <v>137</v>
      </c>
      <c r="C59" t="s">
        <v>113</v>
      </c>
      <c r="D59" t="s">
        <v>25</v>
      </c>
      <c r="E59" t="str">
        <f>TRIM(Table1[[#This Row],[First_Name]]&amp;" "&amp;Table1[[#This Row],[Last_Name]])</f>
        <v>David Martinez</v>
      </c>
      <c r="F59" t="s">
        <v>97</v>
      </c>
      <c r="G59" t="str">
        <f>VLOOKUP(Table1[[#This Row],[Dept Code]],Lookup_Departments!$A:$B,2,FALSE)</f>
        <v>Human Resources</v>
      </c>
      <c r="H59" s="4">
        <v>43138</v>
      </c>
      <c r="I59" s="6">
        <f ca="1">ROUND((TODAY()-Table1[[#This Row],[Hire Date]])/365.25,1)</f>
        <v>8.4</v>
      </c>
      <c r="J59" s="5">
        <v>91655</v>
      </c>
      <c r="K59" s="5">
        <f>J59*VLOOKUP(L59,Lookup_Performance!$A:$D,4,TRUE)</f>
        <v>10998.6</v>
      </c>
      <c r="L59">
        <v>95</v>
      </c>
      <c r="M59" t="str">
        <f>VLOOKUP(Table1[[#This Row],[Perf_Score]],Lookup_Performance!$A:$D,3,TRUE)</f>
        <v>Outstanding</v>
      </c>
      <c r="N59" t="s">
        <v>305</v>
      </c>
    </row>
    <row r="60" spans="2:14" x14ac:dyDescent="0.3">
      <c r="B60" t="s">
        <v>140</v>
      </c>
      <c r="C60" t="s">
        <v>9</v>
      </c>
      <c r="D60" t="s">
        <v>10</v>
      </c>
      <c r="E60" t="str">
        <f>TRIM(Table1[[#This Row],[First_Name]]&amp;" "&amp;Table1[[#This Row],[Last_Name]])</f>
        <v>Emily Brown</v>
      </c>
      <c r="F60" t="s">
        <v>11</v>
      </c>
      <c r="G60" t="str">
        <f>VLOOKUP(Table1[[#This Row],[Dept Code]],Lookup_Departments!$A:$B,2,FALSE)</f>
        <v>Information Technology</v>
      </c>
      <c r="H60" s="4">
        <v>45255</v>
      </c>
      <c r="I60" s="6">
        <f ca="1">ROUND((TODAY()-Table1[[#This Row],[Hire Date]])/365.25,1)</f>
        <v>2.6</v>
      </c>
      <c r="J60" s="5">
        <v>49435</v>
      </c>
      <c r="K60" s="5">
        <f>J60*VLOOKUP(L60,Lookup_Performance!$A:$D,4,TRUE)</f>
        <v>988.7</v>
      </c>
      <c r="L60">
        <v>65</v>
      </c>
      <c r="M60" t="str">
        <f>VLOOKUP(Table1[[#This Row],[Perf_Score]],Lookup_Performance!$A:$D,3,TRUE)</f>
        <v>Developing</v>
      </c>
      <c r="N60" t="s">
        <v>306</v>
      </c>
    </row>
    <row r="61" spans="2:14" x14ac:dyDescent="0.3">
      <c r="B61" t="s">
        <v>141</v>
      </c>
      <c r="C61" t="s">
        <v>9</v>
      </c>
      <c r="D61" t="s">
        <v>36</v>
      </c>
      <c r="E61" t="str">
        <f>TRIM(Table1[[#This Row],[First_Name]]&amp;" "&amp;Table1[[#This Row],[Last_Name]])</f>
        <v>Emily Wilson</v>
      </c>
      <c r="F61" t="s">
        <v>44</v>
      </c>
      <c r="G61" t="str">
        <f>VLOOKUP(Table1[[#This Row],[Dept Code]],Lookup_Departments!$A:$B,2,FALSE)</f>
        <v>Sales</v>
      </c>
      <c r="H61" s="4">
        <v>45217</v>
      </c>
      <c r="I61" s="6">
        <f ca="1">ROUND((TODAY()-Table1[[#This Row],[Hire Date]])/365.25,1)</f>
        <v>2.7</v>
      </c>
      <c r="J61" s="5">
        <v>110381</v>
      </c>
      <c r="K61" s="5">
        <f>J61*VLOOKUP(L61,Lookup_Performance!$A:$D,4,TRUE)</f>
        <v>8830.48</v>
      </c>
      <c r="L61">
        <v>93</v>
      </c>
      <c r="M61" t="str">
        <f>VLOOKUP(Table1[[#This Row],[Perf_Score]],Lookup_Performance!$A:$D,3,TRUE)</f>
        <v>Exceeding</v>
      </c>
      <c r="N61" t="s">
        <v>305</v>
      </c>
    </row>
    <row r="62" spans="2:14" x14ac:dyDescent="0.3">
      <c r="B62" t="s">
        <v>142</v>
      </c>
      <c r="C62" t="s">
        <v>43</v>
      </c>
      <c r="D62" t="s">
        <v>135</v>
      </c>
      <c r="E62" t="str">
        <f>TRIM(Table1[[#This Row],[First_Name]]&amp;" "&amp;Table1[[#This Row],[Last_Name]])</f>
        <v>Michael Anderson</v>
      </c>
      <c r="F62" t="s">
        <v>97</v>
      </c>
      <c r="G62" t="str">
        <f>VLOOKUP(Table1[[#This Row],[Dept Code]],Lookup_Departments!$A:$B,2,FALSE)</f>
        <v>Human Resources</v>
      </c>
      <c r="H62" s="4">
        <v>44079</v>
      </c>
      <c r="I62" s="6">
        <f ca="1">ROUND((TODAY()-Table1[[#This Row],[Hire Date]])/365.25,1)</f>
        <v>5.8</v>
      </c>
      <c r="J62" s="5">
        <v>114748</v>
      </c>
      <c r="K62" s="5">
        <f>J62*VLOOKUP(L62,Lookup_Performance!$A:$D,4,TRUE)</f>
        <v>0</v>
      </c>
      <c r="L62">
        <v>33</v>
      </c>
      <c r="M62" t="str">
        <f>VLOOKUP(Table1[[#This Row],[Perf_Score]],Lookup_Performance!$A:$D,3,TRUE)</f>
        <v>Needs Improvement</v>
      </c>
      <c r="N62" t="s">
        <v>305</v>
      </c>
    </row>
    <row r="63" spans="2:14" x14ac:dyDescent="0.3">
      <c r="B63" t="s">
        <v>143</v>
      </c>
      <c r="C63" t="s">
        <v>59</v>
      </c>
      <c r="D63" t="s">
        <v>32</v>
      </c>
      <c r="E63" t="str">
        <f>TRIM(Table1[[#This Row],[First_Name]]&amp;" "&amp;Table1[[#This Row],[Last_Name]])</f>
        <v>Robert Johnson</v>
      </c>
      <c r="F63" t="s">
        <v>33</v>
      </c>
      <c r="G63" t="str">
        <f>VLOOKUP(Table1[[#This Row],[Dept Code]],Lookup_Departments!$A:$B,2,FALSE)</f>
        <v>Operations</v>
      </c>
      <c r="H63" s="4">
        <v>42800</v>
      </c>
      <c r="I63" s="6">
        <f ca="1">ROUND((TODAY()-Table1[[#This Row],[Hire Date]])/365.25,1)</f>
        <v>9.3000000000000007</v>
      </c>
      <c r="J63" s="5">
        <v>63302</v>
      </c>
      <c r="K63" s="5">
        <f>J63*VLOOKUP(L63,Lookup_Performance!$A:$D,4,TRUE)</f>
        <v>5064.16</v>
      </c>
      <c r="L63">
        <v>91</v>
      </c>
      <c r="M63" t="str">
        <f>VLOOKUP(Table1[[#This Row],[Perf_Score]],Lookup_Performance!$A:$D,3,TRUE)</f>
        <v>Exceeding</v>
      </c>
      <c r="N63" t="s">
        <v>305</v>
      </c>
    </row>
    <row r="64" spans="2:14" x14ac:dyDescent="0.3">
      <c r="B64" t="s">
        <v>144</v>
      </c>
      <c r="C64" t="s">
        <v>59</v>
      </c>
      <c r="D64" t="s">
        <v>47</v>
      </c>
      <c r="E64" t="str">
        <f>TRIM(Table1[[#This Row],[First_Name]]&amp;" "&amp;Table1[[#This Row],[Last_Name]])</f>
        <v>Robert Miller</v>
      </c>
      <c r="F64" t="s">
        <v>11</v>
      </c>
      <c r="G64" t="str">
        <f>VLOOKUP(Table1[[#This Row],[Dept Code]],Lookup_Departments!$A:$B,2,FALSE)</f>
        <v>Information Technology</v>
      </c>
      <c r="H64" s="4">
        <v>42122</v>
      </c>
      <c r="I64" s="6">
        <f ca="1">ROUND((TODAY()-Table1[[#This Row],[Hire Date]])/365.25,1)</f>
        <v>11.2</v>
      </c>
      <c r="J64" s="5">
        <v>75519</v>
      </c>
      <c r="K64" s="5">
        <f>J64*VLOOKUP(L64,Lookup_Performance!$A:$D,4,TRUE)</f>
        <v>1510.38</v>
      </c>
      <c r="L64">
        <v>64</v>
      </c>
      <c r="M64" t="str">
        <f>VLOOKUP(Table1[[#This Row],[Perf_Score]],Lookup_Performance!$A:$D,3,TRUE)</f>
        <v>Developing</v>
      </c>
      <c r="N64" t="s">
        <v>305</v>
      </c>
    </row>
    <row r="65" spans="2:14" x14ac:dyDescent="0.3">
      <c r="B65" t="s">
        <v>146</v>
      </c>
      <c r="C65" t="s">
        <v>53</v>
      </c>
      <c r="D65" t="s">
        <v>64</v>
      </c>
      <c r="E65" t="str">
        <f>TRIM(Table1[[#This Row],[First_Name]]&amp;" "&amp;Table1[[#This Row],[Last_Name]])</f>
        <v>Jane Davis</v>
      </c>
      <c r="F65" t="s">
        <v>26</v>
      </c>
      <c r="G65" t="str">
        <f>VLOOKUP(Table1[[#This Row],[Dept Code]],Lookup_Departments!$A:$B,2,FALSE)</f>
        <v>Finance</v>
      </c>
      <c r="H65" s="4">
        <v>42838</v>
      </c>
      <c r="I65" s="6">
        <f ca="1">ROUND((TODAY()-Table1[[#This Row],[Hire Date]])/365.25,1)</f>
        <v>9.1999999999999993</v>
      </c>
      <c r="J65" s="5">
        <v>103891</v>
      </c>
      <c r="K65" s="5">
        <f>J65*VLOOKUP(L65,Lookup_Performance!$A:$D,4,TRUE)</f>
        <v>5194.55</v>
      </c>
      <c r="L65">
        <v>80</v>
      </c>
      <c r="M65" t="str">
        <f>VLOOKUP(Table1[[#This Row],[Perf_Score]],Lookup_Performance!$A:$D,3,TRUE)</f>
        <v>Achieving</v>
      </c>
      <c r="N65" t="s">
        <v>305</v>
      </c>
    </row>
    <row r="66" spans="2:14" x14ac:dyDescent="0.3">
      <c r="B66" t="s">
        <v>147</v>
      </c>
      <c r="C66" t="s">
        <v>28</v>
      </c>
      <c r="D66" t="s">
        <v>64</v>
      </c>
      <c r="E66" t="str">
        <f>TRIM(Table1[[#This Row],[First_Name]]&amp;" "&amp;Table1[[#This Row],[Last_Name]])</f>
        <v>Thomas Davis</v>
      </c>
      <c r="F66" t="s">
        <v>33</v>
      </c>
      <c r="G66" t="str">
        <f>VLOOKUP(Table1[[#This Row],[Dept Code]],Lookup_Departments!$A:$B,2,FALSE)</f>
        <v>Operations</v>
      </c>
      <c r="H66" s="4">
        <v>44827</v>
      </c>
      <c r="I66" s="6">
        <f ca="1">ROUND((TODAY()-Table1[[#This Row],[Hire Date]])/365.25,1)</f>
        <v>3.8</v>
      </c>
      <c r="J66" s="5">
        <v>68683</v>
      </c>
      <c r="K66" s="5">
        <f>J66*VLOOKUP(L66,Lookup_Performance!$A:$D,4,TRUE)</f>
        <v>0</v>
      </c>
      <c r="L66">
        <v>46</v>
      </c>
      <c r="M66" t="str">
        <f>VLOOKUP(Table1[[#This Row],[Perf_Score]],Lookup_Performance!$A:$D,3,TRUE)</f>
        <v>Needs Improvement</v>
      </c>
      <c r="N66" t="s">
        <v>306</v>
      </c>
    </row>
    <row r="67" spans="2:14" x14ac:dyDescent="0.3">
      <c r="B67" t="s">
        <v>148</v>
      </c>
      <c r="C67" t="s">
        <v>28</v>
      </c>
      <c r="D67" t="s">
        <v>60</v>
      </c>
      <c r="E67" t="str">
        <f>TRIM(Table1[[#This Row],[First_Name]]&amp;" "&amp;Table1[[#This Row],[Last_Name]])</f>
        <v>Thomas Jones</v>
      </c>
      <c r="F67" t="s">
        <v>16</v>
      </c>
      <c r="G67" t="str">
        <f>VLOOKUP(Table1[[#This Row],[Dept Code]],Lookup_Departments!$A:$B,2,FALSE)</f>
        <v>Marketing</v>
      </c>
      <c r="H67" s="4">
        <v>42685</v>
      </c>
      <c r="I67" s="6">
        <f ca="1">ROUND((TODAY()-Table1[[#This Row],[Hire Date]])/365.25,1)</f>
        <v>9.6999999999999993</v>
      </c>
      <c r="J67" s="5">
        <v>50936</v>
      </c>
      <c r="K67" s="5">
        <f>J67*VLOOKUP(L67,Lookup_Performance!$A:$D,4,TRUE)</f>
        <v>6112.32</v>
      </c>
      <c r="L67">
        <v>99</v>
      </c>
      <c r="M67" t="str">
        <f>VLOOKUP(Table1[[#This Row],[Perf_Score]],Lookup_Performance!$A:$D,3,TRUE)</f>
        <v>Outstanding</v>
      </c>
      <c r="N67" t="s">
        <v>305</v>
      </c>
    </row>
    <row r="68" spans="2:14" x14ac:dyDescent="0.3">
      <c r="B68" t="s">
        <v>151</v>
      </c>
      <c r="C68" t="s">
        <v>43</v>
      </c>
      <c r="D68" t="s">
        <v>47</v>
      </c>
      <c r="E68" t="str">
        <f>TRIM(Table1[[#This Row],[First_Name]]&amp;" "&amp;Table1[[#This Row],[Last_Name]])</f>
        <v>Michael Miller</v>
      </c>
      <c r="F68" t="s">
        <v>44</v>
      </c>
      <c r="G68" t="str">
        <f>VLOOKUP(Table1[[#This Row],[Dept Code]],Lookup_Departments!$A:$B,2,FALSE)</f>
        <v>Sales</v>
      </c>
      <c r="H68" s="4">
        <v>42818</v>
      </c>
      <c r="I68" s="6">
        <f ca="1">ROUND((TODAY()-Table1[[#This Row],[Hire Date]])/365.25,1)</f>
        <v>9.3000000000000007</v>
      </c>
      <c r="J68" s="5">
        <v>111240</v>
      </c>
      <c r="K68" s="5">
        <f>J68*VLOOKUP(L68,Lookup_Performance!$A:$D,4,TRUE)</f>
        <v>2224.8000000000002</v>
      </c>
      <c r="L68">
        <v>61</v>
      </c>
      <c r="M68" t="str">
        <f>VLOOKUP(Table1[[#This Row],[Perf_Score]],Lookup_Performance!$A:$D,3,TRUE)</f>
        <v>Developing</v>
      </c>
      <c r="N68" t="s">
        <v>305</v>
      </c>
    </row>
    <row r="69" spans="2:14" x14ac:dyDescent="0.3">
      <c r="B69" t="s">
        <v>154</v>
      </c>
      <c r="C69" t="s">
        <v>14</v>
      </c>
      <c r="D69" t="s">
        <v>19</v>
      </c>
      <c r="E69" t="str">
        <f>TRIM(Table1[[#This Row],[First_Name]]&amp;" "&amp;Table1[[#This Row],[Last_Name]])</f>
        <v>Richard Gonzalez</v>
      </c>
      <c r="F69" t="s">
        <v>97</v>
      </c>
      <c r="G69" t="str">
        <f>VLOOKUP(Table1[[#This Row],[Dept Code]],Lookup_Departments!$A:$B,2,FALSE)</f>
        <v>Human Resources</v>
      </c>
      <c r="H69" s="4">
        <v>43590</v>
      </c>
      <c r="I69" s="6">
        <f ca="1">ROUND((TODAY()-Table1[[#This Row],[Hire Date]])/365.25,1)</f>
        <v>7.2</v>
      </c>
      <c r="J69" s="5">
        <v>51567</v>
      </c>
      <c r="K69" s="5">
        <f>J69*VLOOKUP(L69,Lookup_Performance!$A:$D,4,TRUE)</f>
        <v>4125.3599999999997</v>
      </c>
      <c r="L69">
        <v>87</v>
      </c>
      <c r="M69" t="str">
        <f>VLOOKUP(Table1[[#This Row],[Perf_Score]],Lookup_Performance!$A:$D,3,TRUE)</f>
        <v>Exceeding</v>
      </c>
      <c r="N69" t="s">
        <v>307</v>
      </c>
    </row>
    <row r="70" spans="2:14" x14ac:dyDescent="0.3">
      <c r="B70" t="s">
        <v>156</v>
      </c>
      <c r="C70" t="s">
        <v>105</v>
      </c>
      <c r="D70" t="s">
        <v>54</v>
      </c>
      <c r="E70" t="str">
        <f>TRIM(Table1[[#This Row],[First_Name]]&amp;" "&amp;Table1[[#This Row],[Last_Name]])</f>
        <v>Melissa Williams</v>
      </c>
      <c r="F70" t="s">
        <v>97</v>
      </c>
      <c r="G70" t="str">
        <f>VLOOKUP(Table1[[#This Row],[Dept Code]],Lookup_Departments!$A:$B,2,FALSE)</f>
        <v>Human Resources</v>
      </c>
      <c r="H70" s="4">
        <v>44402</v>
      </c>
      <c r="I70" s="6">
        <f ca="1">ROUND((TODAY()-Table1[[#This Row],[Hire Date]])/365.25,1)</f>
        <v>5</v>
      </c>
      <c r="J70" s="5">
        <v>85691.5</v>
      </c>
      <c r="K70" s="5">
        <f>J70*VLOOKUP(L70,Lookup_Performance!$A:$D,4,TRUE)</f>
        <v>0</v>
      </c>
      <c r="L70">
        <v>36</v>
      </c>
      <c r="M70" t="str">
        <f>VLOOKUP(Table1[[#This Row],[Perf_Score]],Lookup_Performance!$A:$D,3,TRUE)</f>
        <v>Needs Improvement</v>
      </c>
      <c r="N70" t="s">
        <v>305</v>
      </c>
    </row>
    <row r="71" spans="2:14" x14ac:dyDescent="0.3">
      <c r="B71" t="s">
        <v>158</v>
      </c>
      <c r="C71" t="s">
        <v>59</v>
      </c>
      <c r="D71" t="s">
        <v>47</v>
      </c>
      <c r="E71" t="str">
        <f>TRIM(Table1[[#This Row],[First_Name]]&amp;" "&amp;Table1[[#This Row],[Last_Name]])</f>
        <v>Robert Miller</v>
      </c>
      <c r="F71" t="s">
        <v>97</v>
      </c>
      <c r="G71" t="str">
        <f>VLOOKUP(Table1[[#This Row],[Dept Code]],Lookup_Departments!$A:$B,2,FALSE)</f>
        <v>Human Resources</v>
      </c>
      <c r="H71" s="4">
        <v>43008</v>
      </c>
      <c r="I71" s="6">
        <f ca="1">ROUND((TODAY()-Table1[[#This Row],[Hire Date]])/365.25,1)</f>
        <v>8.8000000000000007</v>
      </c>
      <c r="J71" s="5">
        <v>55270</v>
      </c>
      <c r="K71" s="5">
        <f>J71*VLOOKUP(L71,Lookup_Performance!$A:$D,4,TRUE)</f>
        <v>4421.6000000000004</v>
      </c>
      <c r="L71">
        <v>87</v>
      </c>
      <c r="M71" t="str">
        <f>VLOOKUP(Table1[[#This Row],[Perf_Score]],Lookup_Performance!$A:$D,3,TRUE)</f>
        <v>Exceeding</v>
      </c>
      <c r="N71" t="s">
        <v>305</v>
      </c>
    </row>
    <row r="72" spans="2:14" x14ac:dyDescent="0.3">
      <c r="B72" t="s">
        <v>159</v>
      </c>
      <c r="C72" t="s">
        <v>160</v>
      </c>
      <c r="D72" t="s">
        <v>133</v>
      </c>
      <c r="E72" t="str">
        <f>TRIM(Table1[[#This Row],[First_Name]]&amp;" "&amp;Table1[[#This Row],[Last_Name]])</f>
        <v>William Garcia</v>
      </c>
      <c r="F72" t="s">
        <v>44</v>
      </c>
      <c r="G72" t="str">
        <f>VLOOKUP(Table1[[#This Row],[Dept Code]],Lookup_Departments!$A:$B,2,FALSE)</f>
        <v>Sales</v>
      </c>
      <c r="H72" s="4">
        <v>42192</v>
      </c>
      <c r="I72" s="6">
        <f ca="1">ROUND((TODAY()-Table1[[#This Row],[Hire Date]])/365.25,1)</f>
        <v>11</v>
      </c>
      <c r="J72" s="5">
        <v>65235</v>
      </c>
      <c r="K72" s="5">
        <f>J72*VLOOKUP(L72,Lookup_Performance!$A:$D,4,TRUE)</f>
        <v>7828.2</v>
      </c>
      <c r="L72">
        <v>97</v>
      </c>
      <c r="M72" t="str">
        <f>VLOOKUP(Table1[[#This Row],[Perf_Score]],Lookup_Performance!$A:$D,3,TRUE)</f>
        <v>Outstanding</v>
      </c>
      <c r="N72" t="s">
        <v>305</v>
      </c>
    </row>
    <row r="73" spans="2:14" x14ac:dyDescent="0.3">
      <c r="B73" t="s">
        <v>161</v>
      </c>
      <c r="C73" t="s">
        <v>24</v>
      </c>
      <c r="D73" t="s">
        <v>19</v>
      </c>
      <c r="E73" t="str">
        <f>TRIM(Table1[[#This Row],[First_Name]]&amp;" "&amp;Table1[[#This Row],[Last_Name]])</f>
        <v>John Gonzalez</v>
      </c>
      <c r="F73" t="s">
        <v>44</v>
      </c>
      <c r="G73" t="str">
        <f>VLOOKUP(Table1[[#This Row],[Dept Code]],Lookup_Departments!$A:$B,2,FALSE)</f>
        <v>Sales</v>
      </c>
      <c r="H73" s="4">
        <v>43283</v>
      </c>
      <c r="I73" s="6">
        <f ca="1">ROUND((TODAY()-Table1[[#This Row],[Hire Date]])/365.25,1)</f>
        <v>8</v>
      </c>
      <c r="J73" s="5">
        <v>77610</v>
      </c>
      <c r="K73" s="5">
        <f>J73*VLOOKUP(L73,Lookup_Performance!$A:$D,4,TRUE)</f>
        <v>3880.5</v>
      </c>
      <c r="L73">
        <v>72</v>
      </c>
      <c r="M73" t="str">
        <f>VLOOKUP(Table1[[#This Row],[Perf_Score]],Lookup_Performance!$A:$D,3,TRUE)</f>
        <v>Achieving</v>
      </c>
      <c r="N73" t="s">
        <v>306</v>
      </c>
    </row>
    <row r="74" spans="2:14" x14ac:dyDescent="0.3">
      <c r="B74" t="s">
        <v>162</v>
      </c>
      <c r="C74" t="s">
        <v>66</v>
      </c>
      <c r="D74" t="s">
        <v>19</v>
      </c>
      <c r="E74" t="str">
        <f>TRIM(Table1[[#This Row],[First_Name]]&amp;" "&amp;Table1[[#This Row],[Last_Name]])</f>
        <v>James Gonzalez</v>
      </c>
      <c r="F74" t="s">
        <v>44</v>
      </c>
      <c r="G74" t="str">
        <f>VLOOKUP(Table1[[#This Row],[Dept Code]],Lookup_Departments!$A:$B,2,FALSE)</f>
        <v>Sales</v>
      </c>
      <c r="H74" s="4">
        <v>44819</v>
      </c>
      <c r="I74" s="6">
        <f ca="1">ROUND((TODAY()-Table1[[#This Row],[Hire Date]])/365.25,1)</f>
        <v>3.8</v>
      </c>
      <c r="J74" s="5">
        <v>77610</v>
      </c>
      <c r="K74" s="5">
        <f>J74*VLOOKUP(L74,Lookup_Performance!$A:$D,4,TRUE)</f>
        <v>1552.2</v>
      </c>
      <c r="L74">
        <v>65</v>
      </c>
      <c r="M74" t="str">
        <f>VLOOKUP(Table1[[#This Row],[Perf_Score]],Lookup_Performance!$A:$D,3,TRUE)</f>
        <v>Developing</v>
      </c>
      <c r="N74" t="s">
        <v>306</v>
      </c>
    </row>
    <row r="75" spans="2:14" x14ac:dyDescent="0.3">
      <c r="B75" t="s">
        <v>163</v>
      </c>
      <c r="C75" t="s">
        <v>53</v>
      </c>
      <c r="D75" t="s">
        <v>19</v>
      </c>
      <c r="E75" t="str">
        <f>TRIM(Table1[[#This Row],[First_Name]]&amp;" "&amp;Table1[[#This Row],[Last_Name]])</f>
        <v>Jane Gonzalez</v>
      </c>
      <c r="F75" t="s">
        <v>44</v>
      </c>
      <c r="G75" t="str">
        <f>VLOOKUP(Table1[[#This Row],[Dept Code]],Lookup_Departments!$A:$B,2,FALSE)</f>
        <v>Sales</v>
      </c>
      <c r="H75" s="4">
        <v>42249</v>
      </c>
      <c r="I75" s="6">
        <f ca="1">ROUND((TODAY()-Table1[[#This Row],[Hire Date]])/365.25,1)</f>
        <v>10.9</v>
      </c>
      <c r="J75" s="5">
        <v>77610</v>
      </c>
      <c r="K75" s="5">
        <f>J75*VLOOKUP(L75,Lookup_Performance!$A:$D,4,TRUE)</f>
        <v>1552.2</v>
      </c>
      <c r="L75">
        <v>67</v>
      </c>
      <c r="M75" t="str">
        <f>VLOOKUP(Table1[[#This Row],[Perf_Score]],Lookup_Performance!$A:$D,3,TRUE)</f>
        <v>Developing</v>
      </c>
      <c r="N75" t="s">
        <v>305</v>
      </c>
    </row>
    <row r="76" spans="2:14" x14ac:dyDescent="0.3">
      <c r="B76" t="s">
        <v>164</v>
      </c>
      <c r="C76" t="s">
        <v>113</v>
      </c>
      <c r="D76" t="s">
        <v>36</v>
      </c>
      <c r="E76" t="str">
        <f>TRIM(Table1[[#This Row],[First_Name]]&amp;" "&amp;Table1[[#This Row],[Last_Name]])</f>
        <v>David Wilson</v>
      </c>
      <c r="F76" t="s">
        <v>33</v>
      </c>
      <c r="G76" t="str">
        <f>VLOOKUP(Table1[[#This Row],[Dept Code]],Lookup_Departments!$A:$B,2,FALSE)</f>
        <v>Operations</v>
      </c>
      <c r="H76" s="4">
        <v>42654</v>
      </c>
      <c r="I76" s="6">
        <f ca="1">ROUND((TODAY()-Table1[[#This Row],[Hire Date]])/365.25,1)</f>
        <v>9.6999999999999993</v>
      </c>
      <c r="J76" s="5">
        <v>48823</v>
      </c>
      <c r="K76" s="5">
        <f>J76*VLOOKUP(L76,Lookup_Performance!$A:$D,4,TRUE)</f>
        <v>0</v>
      </c>
      <c r="L76">
        <v>34</v>
      </c>
      <c r="M76" t="str">
        <f>VLOOKUP(Table1[[#This Row],[Perf_Score]],Lookup_Performance!$A:$D,3,TRUE)</f>
        <v>Needs Improvement</v>
      </c>
      <c r="N76" t="s">
        <v>305</v>
      </c>
    </row>
    <row r="77" spans="2:14" x14ac:dyDescent="0.3">
      <c r="B77" t="s">
        <v>167</v>
      </c>
      <c r="C77" t="s">
        <v>53</v>
      </c>
      <c r="D77" t="s">
        <v>19</v>
      </c>
      <c r="E77" t="str">
        <f>TRIM(Table1[[#This Row],[First_Name]]&amp;" "&amp;Table1[[#This Row],[Last_Name]])</f>
        <v>Jane Gonzalez</v>
      </c>
      <c r="F77" t="s">
        <v>26</v>
      </c>
      <c r="G77" t="str">
        <f>VLOOKUP(Table1[[#This Row],[Dept Code]],Lookup_Departments!$A:$B,2,FALSE)</f>
        <v>Finance</v>
      </c>
      <c r="H77" s="4">
        <v>43575</v>
      </c>
      <c r="I77" s="6">
        <f ca="1">ROUND((TODAY()-Table1[[#This Row],[Hire Date]])/365.25,1)</f>
        <v>7.2</v>
      </c>
      <c r="J77" s="5">
        <v>45196</v>
      </c>
      <c r="K77" s="5">
        <f>J77*VLOOKUP(L77,Lookup_Performance!$A:$D,4,TRUE)</f>
        <v>2259.8000000000002</v>
      </c>
      <c r="L77">
        <v>78</v>
      </c>
      <c r="M77" t="str">
        <f>VLOOKUP(Table1[[#This Row],[Perf_Score]],Lookup_Performance!$A:$D,3,TRUE)</f>
        <v>Achieving</v>
      </c>
      <c r="N77" t="s">
        <v>306</v>
      </c>
    </row>
    <row r="78" spans="2:14" x14ac:dyDescent="0.3">
      <c r="B78" t="s">
        <v>168</v>
      </c>
      <c r="C78" t="s">
        <v>53</v>
      </c>
      <c r="D78" t="s">
        <v>41</v>
      </c>
      <c r="E78" t="str">
        <f>TRIM(Table1[[#This Row],[First_Name]]&amp;" "&amp;Table1[[#This Row],[Last_Name]])</f>
        <v>Jane Rodriguez</v>
      </c>
      <c r="F78" t="s">
        <v>11</v>
      </c>
      <c r="G78" t="str">
        <f>VLOOKUP(Table1[[#This Row],[Dept Code]],Lookup_Departments!$A:$B,2,FALSE)</f>
        <v>Information Technology</v>
      </c>
      <c r="H78" s="4">
        <v>42785</v>
      </c>
      <c r="I78" s="6">
        <f ca="1">ROUND((TODAY()-Table1[[#This Row],[Hire Date]])/365.25,1)</f>
        <v>9.4</v>
      </c>
      <c r="J78" s="5">
        <v>86246</v>
      </c>
      <c r="K78" s="5">
        <f>J78*VLOOKUP(L78,Lookup_Performance!$A:$D,4,TRUE)</f>
        <v>1724.92</v>
      </c>
      <c r="L78">
        <v>61</v>
      </c>
      <c r="M78" t="str">
        <f>VLOOKUP(Table1[[#This Row],[Perf_Score]],Lookup_Performance!$A:$D,3,TRUE)</f>
        <v>Developing</v>
      </c>
      <c r="N78" t="s">
        <v>305</v>
      </c>
    </row>
    <row r="79" spans="2:14" x14ac:dyDescent="0.3">
      <c r="B79" t="s">
        <v>171</v>
      </c>
      <c r="C79" t="s">
        <v>9</v>
      </c>
      <c r="D79" t="s">
        <v>47</v>
      </c>
      <c r="E79" t="str">
        <f>TRIM(Table1[[#This Row],[First_Name]]&amp;" "&amp;Table1[[#This Row],[Last_Name]])</f>
        <v>Emily Miller</v>
      </c>
      <c r="F79" t="s">
        <v>44</v>
      </c>
      <c r="G79" t="str">
        <f>VLOOKUP(Table1[[#This Row],[Dept Code]],Lookup_Departments!$A:$B,2,FALSE)</f>
        <v>Sales</v>
      </c>
      <c r="H79" s="4">
        <v>44446</v>
      </c>
      <c r="I79" s="6">
        <f ca="1">ROUND((TODAY()-Table1[[#This Row],[Hire Date]])/365.25,1)</f>
        <v>4.8</v>
      </c>
      <c r="J79" s="5">
        <v>70359</v>
      </c>
      <c r="K79" s="5">
        <f>J79*VLOOKUP(L79,Lookup_Performance!$A:$D,4,TRUE)</f>
        <v>3517.9500000000003</v>
      </c>
      <c r="L79">
        <v>74</v>
      </c>
      <c r="M79" t="str">
        <f>VLOOKUP(Table1[[#This Row],[Perf_Score]],Lookup_Performance!$A:$D,3,TRUE)</f>
        <v>Achieving</v>
      </c>
      <c r="N79" t="s">
        <v>306</v>
      </c>
    </row>
    <row r="80" spans="2:14" x14ac:dyDescent="0.3">
      <c r="B80" t="s">
        <v>173</v>
      </c>
      <c r="C80" t="s">
        <v>94</v>
      </c>
      <c r="D80" t="s">
        <v>47</v>
      </c>
      <c r="E80" t="str">
        <f>TRIM(Table1[[#This Row],[First_Name]]&amp;" "&amp;Table1[[#This Row],[Last_Name]])</f>
        <v>Sarah Miller</v>
      </c>
      <c r="F80" t="s">
        <v>16</v>
      </c>
      <c r="G80" t="str">
        <f>VLOOKUP(Table1[[#This Row],[Dept Code]],Lookup_Departments!$A:$B,2,FALSE)</f>
        <v>Marketing</v>
      </c>
      <c r="H80" s="4">
        <v>43599</v>
      </c>
      <c r="I80" s="6">
        <f ca="1">ROUND((TODAY()-Table1[[#This Row],[Hire Date]])/365.25,1)</f>
        <v>7.2</v>
      </c>
      <c r="J80" s="5">
        <v>83007</v>
      </c>
      <c r="K80" s="5">
        <f>J80*VLOOKUP(L80,Lookup_Performance!$A:$D,4,TRUE)</f>
        <v>6640.56</v>
      </c>
      <c r="L80">
        <v>94</v>
      </c>
      <c r="M80" t="str">
        <f>VLOOKUP(Table1[[#This Row],[Perf_Score]],Lookup_Performance!$A:$D,3,TRUE)</f>
        <v>Exceeding</v>
      </c>
      <c r="N80" t="s">
        <v>305</v>
      </c>
    </row>
    <row r="81" spans="2:14" x14ac:dyDescent="0.3">
      <c r="B81" t="s">
        <v>174</v>
      </c>
      <c r="C81" t="s">
        <v>39</v>
      </c>
      <c r="D81" t="s">
        <v>133</v>
      </c>
      <c r="E81" t="str">
        <f>TRIM(Table1[[#This Row],[First_Name]]&amp;" "&amp;Table1[[#This Row],[Last_Name]])</f>
        <v>Jessica Garcia</v>
      </c>
      <c r="F81" t="s">
        <v>33</v>
      </c>
      <c r="G81" t="str">
        <f>VLOOKUP(Table1[[#This Row],[Dept Code]],Lookup_Departments!$A:$B,2,FALSE)</f>
        <v>Operations</v>
      </c>
      <c r="H81" s="4">
        <v>42330</v>
      </c>
      <c r="I81" s="6">
        <f ca="1">ROUND((TODAY()-Table1[[#This Row],[Hire Date]])/365.25,1)</f>
        <v>10.6</v>
      </c>
      <c r="J81" s="5">
        <v>86480</v>
      </c>
      <c r="K81" s="5">
        <f>J81*VLOOKUP(L81,Lookup_Performance!$A:$D,4,TRUE)</f>
        <v>4324</v>
      </c>
      <c r="L81">
        <v>72</v>
      </c>
      <c r="M81" t="str">
        <f>VLOOKUP(Table1[[#This Row],[Perf_Score]],Lookup_Performance!$A:$D,3,TRUE)</f>
        <v>Achieving</v>
      </c>
      <c r="N81" t="s">
        <v>305</v>
      </c>
    </row>
    <row r="82" spans="2:14" x14ac:dyDescent="0.3">
      <c r="B82" t="s">
        <v>175</v>
      </c>
      <c r="C82" t="s">
        <v>14</v>
      </c>
      <c r="D82" t="s">
        <v>29</v>
      </c>
      <c r="E82" t="str">
        <f>TRIM(Table1[[#This Row],[First_Name]]&amp;" "&amp;Table1[[#This Row],[Last_Name]])</f>
        <v>Richard Smith</v>
      </c>
      <c r="F82" t="s">
        <v>97</v>
      </c>
      <c r="G82" t="str">
        <f>VLOOKUP(Table1[[#This Row],[Dept Code]],Lookup_Departments!$A:$B,2,FALSE)</f>
        <v>Human Resources</v>
      </c>
      <c r="H82" s="4">
        <v>43372</v>
      </c>
      <c r="I82" s="6">
        <f ca="1">ROUND((TODAY()-Table1[[#This Row],[Hire Date]])/365.25,1)</f>
        <v>7.8</v>
      </c>
      <c r="J82" s="5">
        <v>47694</v>
      </c>
      <c r="K82" s="5">
        <f>J82*VLOOKUP(L82,Lookup_Performance!$A:$D,4,TRUE)</f>
        <v>2384.7000000000003</v>
      </c>
      <c r="L82">
        <v>75</v>
      </c>
      <c r="M82" t="str">
        <f>VLOOKUP(Table1[[#This Row],[Perf_Score]],Lookup_Performance!$A:$D,3,TRUE)</f>
        <v>Achieving</v>
      </c>
      <c r="N82" t="s">
        <v>305</v>
      </c>
    </row>
    <row r="83" spans="2:14" x14ac:dyDescent="0.3">
      <c r="B83" t="s">
        <v>178</v>
      </c>
      <c r="C83" t="s">
        <v>105</v>
      </c>
      <c r="D83" t="s">
        <v>36</v>
      </c>
      <c r="E83" t="str">
        <f>TRIM(Table1[[#This Row],[First_Name]]&amp;" "&amp;Table1[[#This Row],[Last_Name]])</f>
        <v>Melissa Wilson</v>
      </c>
      <c r="F83" t="s">
        <v>11</v>
      </c>
      <c r="G83" t="str">
        <f>VLOOKUP(Table1[[#This Row],[Dept Code]],Lookup_Departments!$A:$B,2,FALSE)</f>
        <v>Information Technology</v>
      </c>
      <c r="H83" s="4">
        <v>45171</v>
      </c>
      <c r="I83" s="6">
        <f ca="1">ROUND((TODAY()-Table1[[#This Row],[Hire Date]])/365.25,1)</f>
        <v>2.9</v>
      </c>
      <c r="J83" s="5">
        <v>83724</v>
      </c>
      <c r="K83" s="5">
        <f>J83*VLOOKUP(L83,Lookup_Performance!$A:$D,4,TRUE)</f>
        <v>4186.2</v>
      </c>
      <c r="L83">
        <v>81</v>
      </c>
      <c r="M83" t="str">
        <f>VLOOKUP(Table1[[#This Row],[Perf_Score]],Lookup_Performance!$A:$D,3,TRUE)</f>
        <v>Achieving</v>
      </c>
      <c r="N83" t="s">
        <v>307</v>
      </c>
    </row>
    <row r="84" spans="2:14" x14ac:dyDescent="0.3">
      <c r="B84" t="s">
        <v>179</v>
      </c>
      <c r="C84" t="s">
        <v>28</v>
      </c>
      <c r="D84" t="s">
        <v>54</v>
      </c>
      <c r="E84" t="str">
        <f>TRIM(Table1[[#This Row],[First_Name]]&amp;" "&amp;Table1[[#This Row],[Last_Name]])</f>
        <v>Thomas Williams</v>
      </c>
      <c r="F84" t="s">
        <v>26</v>
      </c>
      <c r="G84" t="str">
        <f>VLOOKUP(Table1[[#This Row],[Dept Code]],Lookup_Departments!$A:$B,2,FALSE)</f>
        <v>Finance</v>
      </c>
      <c r="H84" s="4">
        <v>44759</v>
      </c>
      <c r="I84" s="6">
        <f ca="1">ROUND((TODAY()-Table1[[#This Row],[Hire Date]])/365.25,1)</f>
        <v>4</v>
      </c>
      <c r="J84" s="5">
        <v>98299</v>
      </c>
      <c r="K84" s="5">
        <f>J84*VLOOKUP(L84,Lookup_Performance!$A:$D,4,TRUE)</f>
        <v>1965.98</v>
      </c>
      <c r="L84">
        <v>61</v>
      </c>
      <c r="M84" t="str">
        <f>VLOOKUP(Table1[[#This Row],[Perf_Score]],Lookup_Performance!$A:$D,3,TRUE)</f>
        <v>Developing</v>
      </c>
      <c r="N84" t="s">
        <v>305</v>
      </c>
    </row>
    <row r="85" spans="2:14" x14ac:dyDescent="0.3">
      <c r="B85" t="s">
        <v>180</v>
      </c>
      <c r="C85" t="s">
        <v>113</v>
      </c>
      <c r="D85" t="s">
        <v>54</v>
      </c>
      <c r="E85" t="str">
        <f>TRIM(Table1[[#This Row],[First_Name]]&amp;" "&amp;Table1[[#This Row],[Last_Name]])</f>
        <v>David Williams</v>
      </c>
      <c r="F85" t="s">
        <v>26</v>
      </c>
      <c r="G85" t="str">
        <f>VLOOKUP(Table1[[#This Row],[Dept Code]],Lookup_Departments!$A:$B,2,FALSE)</f>
        <v>Finance</v>
      </c>
      <c r="H85" s="4">
        <v>44234</v>
      </c>
      <c r="I85" s="6">
        <f ca="1">ROUND((TODAY()-Table1[[#This Row],[Hire Date]])/365.25,1)</f>
        <v>5.4</v>
      </c>
      <c r="J85" s="5">
        <v>85457</v>
      </c>
      <c r="K85" s="5">
        <f>J85*VLOOKUP(L85,Lookup_Performance!$A:$D,4,TRUE)</f>
        <v>1709.14</v>
      </c>
      <c r="L85">
        <v>68</v>
      </c>
      <c r="M85" t="str">
        <f>VLOOKUP(Table1[[#This Row],[Perf_Score]],Lookup_Performance!$A:$D,3,TRUE)</f>
        <v>Developing</v>
      </c>
      <c r="N85" t="s">
        <v>305</v>
      </c>
    </row>
    <row r="86" spans="2:14" x14ac:dyDescent="0.3">
      <c r="B86" t="s">
        <v>182</v>
      </c>
      <c r="C86" t="s">
        <v>24</v>
      </c>
      <c r="D86" t="s">
        <v>32</v>
      </c>
      <c r="E86" t="str">
        <f>TRIM(Table1[[#This Row],[First_Name]]&amp;" "&amp;Table1[[#This Row],[Last_Name]])</f>
        <v>John Johnson</v>
      </c>
      <c r="F86" t="s">
        <v>11</v>
      </c>
      <c r="G86" t="str">
        <f>VLOOKUP(Table1[[#This Row],[Dept Code]],Lookup_Departments!$A:$B,2,FALSE)</f>
        <v>Information Technology</v>
      </c>
      <c r="H86" s="4">
        <v>45203</v>
      </c>
      <c r="I86" s="6">
        <f ca="1">ROUND((TODAY()-Table1[[#This Row],[Hire Date]])/365.25,1)</f>
        <v>2.8</v>
      </c>
      <c r="J86" s="5">
        <v>52287</v>
      </c>
      <c r="K86" s="5">
        <f>J86*VLOOKUP(L86,Lookup_Performance!$A:$D,4,TRUE)</f>
        <v>2614.3500000000004</v>
      </c>
      <c r="L86">
        <v>70</v>
      </c>
      <c r="M86" t="str">
        <f>VLOOKUP(Table1[[#This Row],[Perf_Score]],Lookup_Performance!$A:$D,3,TRUE)</f>
        <v>Achieving</v>
      </c>
      <c r="N86" t="s">
        <v>305</v>
      </c>
    </row>
    <row r="87" spans="2:14" x14ac:dyDescent="0.3">
      <c r="B87" t="s">
        <v>184</v>
      </c>
      <c r="C87" t="s">
        <v>14</v>
      </c>
      <c r="D87" t="s">
        <v>19</v>
      </c>
      <c r="E87" t="str">
        <f>TRIM(Table1[[#This Row],[First_Name]]&amp;" "&amp;Table1[[#This Row],[Last_Name]])</f>
        <v>Richard Gonzalez</v>
      </c>
      <c r="F87" t="s">
        <v>11</v>
      </c>
      <c r="G87" t="str">
        <f>VLOOKUP(Table1[[#This Row],[Dept Code]],Lookup_Departments!$A:$B,2,FALSE)</f>
        <v>Information Technology</v>
      </c>
      <c r="H87" s="4">
        <v>44073</v>
      </c>
      <c r="I87" s="6">
        <f ca="1">ROUND((TODAY()-Table1[[#This Row],[Hire Date]])/365.25,1)</f>
        <v>5.9</v>
      </c>
      <c r="J87" s="5">
        <v>82633</v>
      </c>
      <c r="K87" s="5">
        <f>J87*VLOOKUP(L87,Lookup_Performance!$A:$D,4,TRUE)</f>
        <v>9915.9599999999991</v>
      </c>
      <c r="L87">
        <v>98</v>
      </c>
      <c r="M87" t="str">
        <f>VLOOKUP(Table1[[#This Row],[Perf_Score]],Lookup_Performance!$A:$D,3,TRUE)</f>
        <v>Outstanding</v>
      </c>
      <c r="N87" t="s">
        <v>305</v>
      </c>
    </row>
    <row r="88" spans="2:14" x14ac:dyDescent="0.3">
      <c r="B88" t="s">
        <v>185</v>
      </c>
      <c r="C88" t="s">
        <v>105</v>
      </c>
      <c r="D88" t="s">
        <v>135</v>
      </c>
      <c r="E88" t="str">
        <f>TRIM(Table1[[#This Row],[First_Name]]&amp;" "&amp;Table1[[#This Row],[Last_Name]])</f>
        <v>Melissa Anderson</v>
      </c>
      <c r="F88" t="s">
        <v>33</v>
      </c>
      <c r="G88" t="str">
        <f>VLOOKUP(Table1[[#This Row],[Dept Code]],Lookup_Departments!$A:$B,2,FALSE)</f>
        <v>Operations</v>
      </c>
      <c r="H88" s="4">
        <v>44422</v>
      </c>
      <c r="I88" s="6">
        <f ca="1">ROUND((TODAY()-Table1[[#This Row],[Hire Date]])/365.25,1)</f>
        <v>4.9000000000000004</v>
      </c>
      <c r="J88" s="5">
        <v>46508</v>
      </c>
      <c r="K88" s="5">
        <f>J88*VLOOKUP(L88,Lookup_Performance!$A:$D,4,TRUE)</f>
        <v>0</v>
      </c>
      <c r="L88">
        <v>34</v>
      </c>
      <c r="M88" t="str">
        <f>VLOOKUP(Table1[[#This Row],[Perf_Score]],Lookup_Performance!$A:$D,3,TRUE)</f>
        <v>Needs Improvement</v>
      </c>
      <c r="N88" t="s">
        <v>305</v>
      </c>
    </row>
    <row r="89" spans="2:14" x14ac:dyDescent="0.3">
      <c r="B89" t="s">
        <v>186</v>
      </c>
      <c r="C89" t="s">
        <v>9</v>
      </c>
      <c r="D89" t="s">
        <v>19</v>
      </c>
      <c r="E89" t="str">
        <f>TRIM(Table1[[#This Row],[First_Name]]&amp;" "&amp;Table1[[#This Row],[Last_Name]])</f>
        <v>Emily Gonzalez</v>
      </c>
      <c r="F89" t="s">
        <v>97</v>
      </c>
      <c r="G89" t="str">
        <f>VLOOKUP(Table1[[#This Row],[Dept Code]],Lookup_Departments!$A:$B,2,FALSE)</f>
        <v>Human Resources</v>
      </c>
      <c r="H89" s="4">
        <v>43796</v>
      </c>
      <c r="I89" s="6">
        <f ca="1">ROUND((TODAY()-Table1[[#This Row],[Hire Date]])/365.25,1)</f>
        <v>6.6</v>
      </c>
      <c r="J89" s="5">
        <v>86232</v>
      </c>
      <c r="K89" s="5">
        <f>J89*VLOOKUP(L89,Lookup_Performance!$A:$D,4,TRUE)</f>
        <v>6898.56</v>
      </c>
      <c r="L89">
        <v>93</v>
      </c>
      <c r="M89" t="str">
        <f>VLOOKUP(Table1[[#This Row],[Perf_Score]],Lookup_Performance!$A:$D,3,TRUE)</f>
        <v>Exceeding</v>
      </c>
      <c r="N89" t="s">
        <v>305</v>
      </c>
    </row>
    <row r="90" spans="2:14" x14ac:dyDescent="0.3">
      <c r="B90" t="s">
        <v>188</v>
      </c>
      <c r="C90" t="s">
        <v>53</v>
      </c>
      <c r="D90" t="s">
        <v>64</v>
      </c>
      <c r="E90" t="str">
        <f>TRIM(Table1[[#This Row],[First_Name]]&amp;" "&amp;Table1[[#This Row],[Last_Name]])</f>
        <v>Jane Davis</v>
      </c>
      <c r="F90" t="s">
        <v>11</v>
      </c>
      <c r="G90" t="str">
        <f>VLOOKUP(Table1[[#This Row],[Dept Code]],Lookup_Departments!$A:$B,2,FALSE)</f>
        <v>Information Technology</v>
      </c>
      <c r="H90" s="4">
        <v>42880</v>
      </c>
      <c r="I90" s="6">
        <f ca="1">ROUND((TODAY()-Table1[[#This Row],[Hire Date]])/365.25,1)</f>
        <v>9.1</v>
      </c>
      <c r="J90" s="5">
        <v>77545</v>
      </c>
      <c r="K90" s="5">
        <f>J90*VLOOKUP(L90,Lookup_Performance!$A:$D,4,TRUE)</f>
        <v>0</v>
      </c>
      <c r="L90">
        <v>48</v>
      </c>
      <c r="M90" t="str">
        <f>VLOOKUP(Table1[[#This Row],[Perf_Score]],Lookup_Performance!$A:$D,3,TRUE)</f>
        <v>Needs Improvement</v>
      </c>
      <c r="N90" t="s">
        <v>305</v>
      </c>
    </row>
    <row r="91" spans="2:14" x14ac:dyDescent="0.3">
      <c r="B91" t="s">
        <v>191</v>
      </c>
      <c r="C91" t="s">
        <v>160</v>
      </c>
      <c r="D91" t="s">
        <v>19</v>
      </c>
      <c r="E91" t="str">
        <f>TRIM(Table1[[#This Row],[First_Name]]&amp;" "&amp;Table1[[#This Row],[Last_Name]])</f>
        <v>William Gonzalez</v>
      </c>
      <c r="F91" t="s">
        <v>33</v>
      </c>
      <c r="G91" t="str">
        <f>VLOOKUP(Table1[[#This Row],[Dept Code]],Lookup_Departments!$A:$B,2,FALSE)</f>
        <v>Operations</v>
      </c>
      <c r="H91" s="4">
        <v>43436</v>
      </c>
      <c r="I91" s="6">
        <f ca="1">ROUND((TODAY()-Table1[[#This Row],[Hire Date]])/365.25,1)</f>
        <v>7.6</v>
      </c>
      <c r="J91" s="5">
        <v>68683</v>
      </c>
      <c r="K91" s="5">
        <f>J91*VLOOKUP(L91,Lookup_Performance!$A:$D,4,TRUE)</f>
        <v>5494.64</v>
      </c>
      <c r="L91">
        <v>90</v>
      </c>
      <c r="M91" t="str">
        <f>VLOOKUP(Table1[[#This Row],[Perf_Score]],Lookup_Performance!$A:$D,3,TRUE)</f>
        <v>Exceeding</v>
      </c>
      <c r="N91" t="s">
        <v>305</v>
      </c>
    </row>
    <row r="92" spans="2:14" x14ac:dyDescent="0.3">
      <c r="B92" t="s">
        <v>192</v>
      </c>
      <c r="C92" t="s">
        <v>28</v>
      </c>
      <c r="D92" t="s">
        <v>60</v>
      </c>
      <c r="E92" t="str">
        <f>TRIM(Table1[[#This Row],[First_Name]]&amp;" "&amp;Table1[[#This Row],[Last_Name]])</f>
        <v>Thomas Jones</v>
      </c>
      <c r="F92" t="s">
        <v>26</v>
      </c>
      <c r="G92" t="str">
        <f>VLOOKUP(Table1[[#This Row],[Dept Code]],Lookup_Departments!$A:$B,2,FALSE)</f>
        <v>Finance</v>
      </c>
      <c r="H92" s="4">
        <v>43639</v>
      </c>
      <c r="I92" s="6">
        <f ca="1">ROUND((TODAY()-Table1[[#This Row],[Hire Date]])/365.25,1)</f>
        <v>7</v>
      </c>
      <c r="J92" s="5">
        <v>83932</v>
      </c>
      <c r="K92" s="5">
        <f>J92*VLOOKUP(L92,Lookup_Performance!$A:$D,4,TRUE)</f>
        <v>1678.64</v>
      </c>
      <c r="L92">
        <v>57</v>
      </c>
      <c r="M92" t="str">
        <f>VLOOKUP(Table1[[#This Row],[Perf_Score]],Lookup_Performance!$A:$D,3,TRUE)</f>
        <v>Developing</v>
      </c>
      <c r="N92" t="s">
        <v>306</v>
      </c>
    </row>
    <row r="93" spans="2:14" x14ac:dyDescent="0.3">
      <c r="B93" t="s">
        <v>193</v>
      </c>
      <c r="C93" t="s">
        <v>39</v>
      </c>
      <c r="D93" t="s">
        <v>135</v>
      </c>
      <c r="E93" t="str">
        <f>TRIM(Table1[[#This Row],[First_Name]]&amp;" "&amp;Table1[[#This Row],[Last_Name]])</f>
        <v>Jessica Anderson</v>
      </c>
      <c r="F93" t="s">
        <v>97</v>
      </c>
      <c r="G93" t="str">
        <f>VLOOKUP(Table1[[#This Row],[Dept Code]],Lookup_Departments!$A:$B,2,FALSE)</f>
        <v>Human Resources</v>
      </c>
      <c r="H93" s="4">
        <v>42304</v>
      </c>
      <c r="I93" s="6">
        <f ca="1">ROUND((TODAY()-Table1[[#This Row],[Hire Date]])/365.25,1)</f>
        <v>10.7</v>
      </c>
      <c r="J93" s="5">
        <v>56073</v>
      </c>
      <c r="K93" s="5">
        <f>J93*VLOOKUP(L93,Lookup_Performance!$A:$D,4,TRUE)</f>
        <v>2803.65</v>
      </c>
      <c r="L93">
        <v>79</v>
      </c>
      <c r="M93" t="str">
        <f>VLOOKUP(Table1[[#This Row],[Perf_Score]],Lookup_Performance!$A:$D,3,TRUE)</f>
        <v>Achieving</v>
      </c>
      <c r="N93" t="s">
        <v>305</v>
      </c>
    </row>
    <row r="94" spans="2:14" x14ac:dyDescent="0.3">
      <c r="B94" t="s">
        <v>194</v>
      </c>
      <c r="C94" t="s">
        <v>105</v>
      </c>
      <c r="D94" t="s">
        <v>32</v>
      </c>
      <c r="E94" t="str">
        <f>TRIM(Table1[[#This Row],[First_Name]]&amp;" "&amp;Table1[[#This Row],[Last_Name]])</f>
        <v>Melissa Johnson</v>
      </c>
      <c r="F94" t="s">
        <v>11</v>
      </c>
      <c r="G94" t="str">
        <f>VLOOKUP(Table1[[#This Row],[Dept Code]],Lookup_Departments!$A:$B,2,FALSE)</f>
        <v>Information Technology</v>
      </c>
      <c r="H94" s="4">
        <v>43270</v>
      </c>
      <c r="I94" s="6">
        <f ca="1">ROUND((TODAY()-Table1[[#This Row],[Hire Date]])/365.25,1)</f>
        <v>8.1</v>
      </c>
      <c r="J94" s="5">
        <v>88056</v>
      </c>
      <c r="K94" s="5">
        <f>J94*VLOOKUP(L94,Lookup_Performance!$A:$D,4,TRUE)</f>
        <v>1761.1200000000001</v>
      </c>
      <c r="L94">
        <v>66</v>
      </c>
      <c r="M94" t="str">
        <f>VLOOKUP(Table1[[#This Row],[Perf_Score]],Lookup_Performance!$A:$D,3,TRUE)</f>
        <v>Developing</v>
      </c>
      <c r="N94" t="s">
        <v>305</v>
      </c>
    </row>
    <row r="95" spans="2:14" x14ac:dyDescent="0.3">
      <c r="B95" t="s">
        <v>196</v>
      </c>
      <c r="C95" t="s">
        <v>28</v>
      </c>
      <c r="D95" t="s">
        <v>47</v>
      </c>
      <c r="E95" t="str">
        <f>TRIM(Table1[[#This Row],[First_Name]]&amp;" "&amp;Table1[[#This Row],[Last_Name]])</f>
        <v>Thomas Miller</v>
      </c>
      <c r="F95" t="s">
        <v>33</v>
      </c>
      <c r="G95" t="str">
        <f>VLOOKUP(Table1[[#This Row],[Dept Code]],Lookup_Departments!$A:$B,2,FALSE)</f>
        <v>Operations</v>
      </c>
      <c r="H95" s="4">
        <v>43112</v>
      </c>
      <c r="I95" s="6">
        <f ca="1">ROUND((TODAY()-Table1[[#This Row],[Hire Date]])/365.25,1)</f>
        <v>8.5</v>
      </c>
      <c r="J95" s="5">
        <v>67414</v>
      </c>
      <c r="K95" s="5">
        <f>J95*VLOOKUP(L95,Lookup_Performance!$A:$D,4,TRUE)</f>
        <v>3370.7000000000003</v>
      </c>
      <c r="L95">
        <v>84</v>
      </c>
      <c r="M95" t="str">
        <f>VLOOKUP(Table1[[#This Row],[Perf_Score]],Lookup_Performance!$A:$D,3,TRUE)</f>
        <v>Achieving</v>
      </c>
      <c r="N95" t="s">
        <v>306</v>
      </c>
    </row>
    <row r="96" spans="2:14" x14ac:dyDescent="0.3">
      <c r="B96" t="s">
        <v>197</v>
      </c>
      <c r="C96" t="s">
        <v>160</v>
      </c>
      <c r="D96" t="s">
        <v>19</v>
      </c>
      <c r="E96" t="str">
        <f>TRIM(Table1[[#This Row],[First_Name]]&amp;" "&amp;Table1[[#This Row],[Last_Name]])</f>
        <v>William Gonzalez</v>
      </c>
      <c r="F96" t="s">
        <v>44</v>
      </c>
      <c r="G96" t="str">
        <f>VLOOKUP(Table1[[#This Row],[Dept Code]],Lookup_Departments!$A:$B,2,FALSE)</f>
        <v>Sales</v>
      </c>
      <c r="H96" s="4">
        <v>42008</v>
      </c>
      <c r="I96" s="6">
        <f ca="1">ROUND((TODAY()-Table1[[#This Row],[Hire Date]])/365.25,1)</f>
        <v>11.5</v>
      </c>
      <c r="J96" s="5">
        <v>115288</v>
      </c>
      <c r="K96" s="5">
        <f>J96*VLOOKUP(L96,Lookup_Performance!$A:$D,4,TRUE)</f>
        <v>2305.7600000000002</v>
      </c>
      <c r="L96">
        <v>61</v>
      </c>
      <c r="M96" t="str">
        <f>VLOOKUP(Table1[[#This Row],[Perf_Score]],Lookup_Performance!$A:$D,3,TRUE)</f>
        <v>Developing</v>
      </c>
      <c r="N96" t="s">
        <v>305</v>
      </c>
    </row>
    <row r="97" spans="2:14" x14ac:dyDescent="0.3">
      <c r="B97" t="s">
        <v>199</v>
      </c>
      <c r="C97" t="s">
        <v>304</v>
      </c>
      <c r="D97" t="s">
        <v>29</v>
      </c>
      <c r="E97" t="str">
        <f>TRIM(Table1[[#This Row],[First_Name]]&amp;" "&amp;Table1[[#This Row],[Last_Name]])</f>
        <v>Unknown Smith</v>
      </c>
      <c r="F97" t="s">
        <v>44</v>
      </c>
      <c r="G97" t="str">
        <f>VLOOKUP(Table1[[#This Row],[Dept Code]],Lookup_Departments!$A:$B,2,FALSE)</f>
        <v>Sales</v>
      </c>
      <c r="H97" s="4">
        <v>43439</v>
      </c>
      <c r="I97" s="6">
        <f ca="1">ROUND((TODAY()-Table1[[#This Row],[Hire Date]])/365.25,1)</f>
        <v>7.6</v>
      </c>
      <c r="J97" s="5">
        <v>80140</v>
      </c>
      <c r="K97" s="5">
        <f>J97*VLOOKUP(L97,Lookup_Performance!$A:$D,4,TRUE)</f>
        <v>1602.8</v>
      </c>
      <c r="L97">
        <v>58</v>
      </c>
      <c r="M97" t="str">
        <f>VLOOKUP(Table1[[#This Row],[Perf_Score]],Lookup_Performance!$A:$D,3,TRUE)</f>
        <v>Developing</v>
      </c>
      <c r="N97" t="s">
        <v>305</v>
      </c>
    </row>
    <row r="98" spans="2:14" x14ac:dyDescent="0.3">
      <c r="B98" t="s">
        <v>200</v>
      </c>
      <c r="C98" t="s">
        <v>24</v>
      </c>
      <c r="D98" t="s">
        <v>32</v>
      </c>
      <c r="E98" t="str">
        <f>TRIM(Table1[[#This Row],[First_Name]]&amp;" "&amp;Table1[[#This Row],[Last_Name]])</f>
        <v>John Johnson</v>
      </c>
      <c r="F98" t="s">
        <v>11</v>
      </c>
      <c r="G98" t="str">
        <f>VLOOKUP(Table1[[#This Row],[Dept Code]],Lookup_Departments!$A:$B,2,FALSE)</f>
        <v>Information Technology</v>
      </c>
      <c r="H98" s="4">
        <v>44482</v>
      </c>
      <c r="I98" s="6">
        <f ca="1">ROUND((TODAY()-Table1[[#This Row],[Hire Date]])/365.25,1)</f>
        <v>4.7</v>
      </c>
      <c r="J98" s="5">
        <v>73087</v>
      </c>
      <c r="K98" s="5">
        <f>J98*VLOOKUP(L98,Lookup_Performance!$A:$D,4,TRUE)</f>
        <v>1461.74</v>
      </c>
      <c r="L98">
        <v>69</v>
      </c>
      <c r="M98" t="str">
        <f>VLOOKUP(Table1[[#This Row],[Perf_Score]],Lookup_Performance!$A:$D,3,TRUE)</f>
        <v>Developing</v>
      </c>
      <c r="N98" t="s">
        <v>305</v>
      </c>
    </row>
    <row r="99" spans="2:14" x14ac:dyDescent="0.3">
      <c r="B99" t="s">
        <v>201</v>
      </c>
      <c r="C99" t="s">
        <v>53</v>
      </c>
      <c r="D99" t="s">
        <v>32</v>
      </c>
      <c r="E99" t="str">
        <f>TRIM(Table1[[#This Row],[First_Name]]&amp;" "&amp;Table1[[#This Row],[Last_Name]])</f>
        <v>Jane Johnson</v>
      </c>
      <c r="F99" t="s">
        <v>44</v>
      </c>
      <c r="G99" t="str">
        <f>VLOOKUP(Table1[[#This Row],[Dept Code]],Lookup_Departments!$A:$B,2,FALSE)</f>
        <v>Sales</v>
      </c>
      <c r="H99" s="4">
        <v>44081</v>
      </c>
      <c r="I99" s="6">
        <f ca="1">ROUND((TODAY()-Table1[[#This Row],[Hire Date]])/365.25,1)</f>
        <v>5.8</v>
      </c>
      <c r="J99" s="5">
        <v>95292</v>
      </c>
      <c r="K99" s="5">
        <f>J99*VLOOKUP(L99,Lookup_Performance!$A:$D,4,TRUE)</f>
        <v>0</v>
      </c>
      <c r="L99">
        <v>34</v>
      </c>
      <c r="M99" t="str">
        <f>VLOOKUP(Table1[[#This Row],[Perf_Score]],Lookup_Performance!$A:$D,3,TRUE)</f>
        <v>Needs Improvement</v>
      </c>
      <c r="N99" t="s">
        <v>305</v>
      </c>
    </row>
    <row r="100" spans="2:14" x14ac:dyDescent="0.3">
      <c r="B100" t="s">
        <v>202</v>
      </c>
      <c r="C100" t="s">
        <v>24</v>
      </c>
      <c r="D100" t="s">
        <v>60</v>
      </c>
      <c r="E100" t="str">
        <f>TRIM(Table1[[#This Row],[First_Name]]&amp;" "&amp;Table1[[#This Row],[Last_Name]])</f>
        <v>John Jones</v>
      </c>
      <c r="F100" t="s">
        <v>11</v>
      </c>
      <c r="G100" t="str">
        <f>VLOOKUP(Table1[[#This Row],[Dept Code]],Lookup_Departments!$A:$B,2,FALSE)</f>
        <v>Information Technology</v>
      </c>
      <c r="H100" s="4">
        <v>43532</v>
      </c>
      <c r="I100" s="6">
        <f ca="1">ROUND((TODAY()-Table1[[#This Row],[Hire Date]])/365.25,1)</f>
        <v>7.3</v>
      </c>
      <c r="J100" s="5">
        <v>76218.5</v>
      </c>
      <c r="K100" s="5">
        <f>J100*VLOOKUP(L100,Lookup_Performance!$A:$D,4,TRUE)</f>
        <v>0</v>
      </c>
      <c r="L100">
        <v>33</v>
      </c>
      <c r="M100" t="str">
        <f>VLOOKUP(Table1[[#This Row],[Perf_Score]],Lookup_Performance!$A:$D,3,TRUE)</f>
        <v>Needs Improvement</v>
      </c>
      <c r="N100" t="s">
        <v>305</v>
      </c>
    </row>
    <row r="101" spans="2:14" x14ac:dyDescent="0.3">
      <c r="B101" t="s">
        <v>204</v>
      </c>
      <c r="C101" t="s">
        <v>53</v>
      </c>
      <c r="D101" t="s">
        <v>69</v>
      </c>
      <c r="E101" t="str">
        <f>TRIM(Table1[[#This Row],[First_Name]]&amp;" "&amp;Table1[[#This Row],[Last_Name]])</f>
        <v>Jane Lopez</v>
      </c>
      <c r="F101" t="s">
        <v>16</v>
      </c>
      <c r="G101" t="str">
        <f>VLOOKUP(Table1[[#This Row],[Dept Code]],Lookup_Departments!$A:$B,2,FALSE)</f>
        <v>Marketing</v>
      </c>
      <c r="H101" s="4">
        <v>42074</v>
      </c>
      <c r="I101" s="6">
        <f ca="1">ROUND((TODAY()-Table1[[#This Row],[Hire Date]])/365.25,1)</f>
        <v>11.3</v>
      </c>
      <c r="J101" s="5">
        <v>101750</v>
      </c>
      <c r="K101" s="5">
        <f>J101*VLOOKUP(L101,Lookup_Performance!$A:$D,4,TRUE)</f>
        <v>5087.5</v>
      </c>
      <c r="L101">
        <v>84</v>
      </c>
      <c r="M101" t="str">
        <f>VLOOKUP(Table1[[#This Row],[Perf_Score]],Lookup_Performance!$A:$D,3,TRUE)</f>
        <v>Achieving</v>
      </c>
      <c r="N101" t="s">
        <v>306</v>
      </c>
    </row>
    <row r="102" spans="2:14" x14ac:dyDescent="0.3">
      <c r="B102" t="s">
        <v>206</v>
      </c>
      <c r="C102" t="s">
        <v>105</v>
      </c>
      <c r="D102" t="s">
        <v>19</v>
      </c>
      <c r="E102" t="str">
        <f>TRIM(Table1[[#This Row],[First_Name]]&amp;" "&amp;Table1[[#This Row],[Last_Name]])</f>
        <v>Melissa Gonzalez</v>
      </c>
      <c r="F102" t="s">
        <v>16</v>
      </c>
      <c r="G102" t="str">
        <f>VLOOKUP(Table1[[#This Row],[Dept Code]],Lookup_Departments!$A:$B,2,FALSE)</f>
        <v>Marketing</v>
      </c>
      <c r="H102" s="4">
        <v>42785</v>
      </c>
      <c r="I102" s="6">
        <f ca="1">ROUND((TODAY()-Table1[[#This Row],[Hire Date]])/365.25,1)</f>
        <v>9.4</v>
      </c>
      <c r="J102" s="5">
        <v>82992</v>
      </c>
      <c r="K102" s="5">
        <f>J102*VLOOKUP(L102,Lookup_Performance!$A:$D,4,TRUE)</f>
        <v>4149.6000000000004</v>
      </c>
      <c r="L102">
        <v>79</v>
      </c>
      <c r="M102" t="str">
        <f>VLOOKUP(Table1[[#This Row],[Perf_Score]],Lookup_Performance!$A:$D,3,TRUE)</f>
        <v>Achieving</v>
      </c>
      <c r="N102" t="s">
        <v>305</v>
      </c>
    </row>
    <row r="103" spans="2:14" x14ac:dyDescent="0.3">
      <c r="B103" t="s">
        <v>208</v>
      </c>
      <c r="C103" t="s">
        <v>160</v>
      </c>
      <c r="D103" t="s">
        <v>64</v>
      </c>
      <c r="E103" t="str">
        <f>TRIM(Table1[[#This Row],[First_Name]]&amp;" "&amp;Table1[[#This Row],[Last_Name]])</f>
        <v>William Davis</v>
      </c>
      <c r="F103" t="s">
        <v>11</v>
      </c>
      <c r="G103" t="str">
        <f>VLOOKUP(Table1[[#This Row],[Dept Code]],Lookup_Departments!$A:$B,2,FALSE)</f>
        <v>Information Technology</v>
      </c>
      <c r="H103" s="4">
        <v>45055</v>
      </c>
      <c r="I103" s="6">
        <f ca="1">ROUND((TODAY()-Table1[[#This Row],[Hire Date]])/365.25,1)</f>
        <v>3.2</v>
      </c>
      <c r="J103" s="5">
        <v>49942</v>
      </c>
      <c r="K103" s="5">
        <f>J103*VLOOKUP(L103,Lookup_Performance!$A:$D,4,TRUE)</f>
        <v>998.84</v>
      </c>
      <c r="L103">
        <v>51</v>
      </c>
      <c r="M103" t="str">
        <f>VLOOKUP(Table1[[#This Row],[Perf_Score]],Lookup_Performance!$A:$D,3,TRUE)</f>
        <v>Developing</v>
      </c>
      <c r="N103" t="s">
        <v>305</v>
      </c>
    </row>
    <row r="104" spans="2:14" x14ac:dyDescent="0.3">
      <c r="B104" t="s">
        <v>210</v>
      </c>
      <c r="C104" t="s">
        <v>24</v>
      </c>
      <c r="D104" t="s">
        <v>29</v>
      </c>
      <c r="E104" t="str">
        <f>TRIM(Table1[[#This Row],[First_Name]]&amp;" "&amp;Table1[[#This Row],[Last_Name]])</f>
        <v>John Smith</v>
      </c>
      <c r="F104" t="s">
        <v>33</v>
      </c>
      <c r="G104" t="str">
        <f>VLOOKUP(Table1[[#This Row],[Dept Code]],Lookup_Departments!$A:$B,2,FALSE)</f>
        <v>Operations</v>
      </c>
      <c r="H104" s="4">
        <v>43122</v>
      </c>
      <c r="I104" s="6">
        <f ca="1">ROUND((TODAY()-Table1[[#This Row],[Hire Date]])/365.25,1)</f>
        <v>8.5</v>
      </c>
      <c r="J104" s="5">
        <v>89060</v>
      </c>
      <c r="K104" s="5">
        <f>J104*VLOOKUP(L104,Lookup_Performance!$A:$D,4,TRUE)</f>
        <v>1781.2</v>
      </c>
      <c r="L104">
        <v>58</v>
      </c>
      <c r="M104" t="str">
        <f>VLOOKUP(Table1[[#This Row],[Perf_Score]],Lookup_Performance!$A:$D,3,TRUE)</f>
        <v>Developing</v>
      </c>
      <c r="N104" t="s">
        <v>305</v>
      </c>
    </row>
    <row r="105" spans="2:14" x14ac:dyDescent="0.3">
      <c r="B105" t="s">
        <v>211</v>
      </c>
      <c r="C105" t="s">
        <v>66</v>
      </c>
      <c r="D105" t="s">
        <v>19</v>
      </c>
      <c r="E105" t="str">
        <f>TRIM(Table1[[#This Row],[First_Name]]&amp;" "&amp;Table1[[#This Row],[Last_Name]])</f>
        <v>James Gonzalez</v>
      </c>
      <c r="F105" t="s">
        <v>11</v>
      </c>
      <c r="G105" t="str">
        <f>VLOOKUP(Table1[[#This Row],[Dept Code]],Lookup_Departments!$A:$B,2,FALSE)</f>
        <v>Information Technology</v>
      </c>
      <c r="H105" s="4">
        <v>43879</v>
      </c>
      <c r="I105" s="6">
        <f ca="1">ROUND((TODAY()-Table1[[#This Row],[Hire Date]])/365.25,1)</f>
        <v>6.4</v>
      </c>
      <c r="J105" s="5">
        <v>53786</v>
      </c>
      <c r="K105" s="5">
        <f>J105*VLOOKUP(L105,Lookup_Performance!$A:$D,4,TRUE)</f>
        <v>6454.32</v>
      </c>
      <c r="L105">
        <v>98</v>
      </c>
      <c r="M105" t="str">
        <f>VLOOKUP(Table1[[#This Row],[Perf_Score]],Lookup_Performance!$A:$D,3,TRUE)</f>
        <v>Outstanding</v>
      </c>
      <c r="N105" t="s">
        <v>305</v>
      </c>
    </row>
    <row r="106" spans="2:14" x14ac:dyDescent="0.3">
      <c r="B106" t="s">
        <v>212</v>
      </c>
      <c r="C106" t="s">
        <v>9</v>
      </c>
      <c r="D106" t="s">
        <v>32</v>
      </c>
      <c r="E106" t="str">
        <f>TRIM(Table1[[#This Row],[First_Name]]&amp;" "&amp;Table1[[#This Row],[Last_Name]])</f>
        <v>Emily Johnson</v>
      </c>
      <c r="F106" t="s">
        <v>33</v>
      </c>
      <c r="G106" t="str">
        <f>VLOOKUP(Table1[[#This Row],[Dept Code]],Lookup_Departments!$A:$B,2,FALSE)</f>
        <v>Operations</v>
      </c>
      <c r="H106" s="4">
        <v>42512</v>
      </c>
      <c r="I106" s="6">
        <f ca="1">ROUND((TODAY()-Table1[[#This Row],[Hire Date]])/365.25,1)</f>
        <v>10.1</v>
      </c>
      <c r="J106" s="5">
        <v>81167</v>
      </c>
      <c r="K106" s="5">
        <f>J106*VLOOKUP(L106,Lookup_Performance!$A:$D,4,TRUE)</f>
        <v>4058.3500000000004</v>
      </c>
      <c r="L106">
        <v>72</v>
      </c>
      <c r="M106" t="str">
        <f>VLOOKUP(Table1[[#This Row],[Perf_Score]],Lookup_Performance!$A:$D,3,TRUE)</f>
        <v>Achieving</v>
      </c>
      <c r="N106" t="s">
        <v>305</v>
      </c>
    </row>
    <row r="107" spans="2:14" x14ac:dyDescent="0.3">
      <c r="B107" t="s">
        <v>214</v>
      </c>
      <c r="C107" t="s">
        <v>160</v>
      </c>
      <c r="D107" t="s">
        <v>54</v>
      </c>
      <c r="E107" t="str">
        <f>TRIM(Table1[[#This Row],[First_Name]]&amp;" "&amp;Table1[[#This Row],[Last_Name]])</f>
        <v>William Williams</v>
      </c>
      <c r="F107" t="s">
        <v>16</v>
      </c>
      <c r="G107" t="str">
        <f>VLOOKUP(Table1[[#This Row],[Dept Code]],Lookup_Departments!$A:$B,2,FALSE)</f>
        <v>Marketing</v>
      </c>
      <c r="H107" s="4">
        <v>44349</v>
      </c>
      <c r="I107" s="6">
        <f ca="1">ROUND((TODAY()-Table1[[#This Row],[Hire Date]])/365.25,1)</f>
        <v>5.0999999999999996</v>
      </c>
      <c r="J107" s="5">
        <v>66688</v>
      </c>
      <c r="K107" s="5">
        <f>J107*VLOOKUP(L107,Lookup_Performance!$A:$D,4,TRUE)</f>
        <v>0</v>
      </c>
      <c r="L107">
        <v>40</v>
      </c>
      <c r="M107" t="str">
        <f>VLOOKUP(Table1[[#This Row],[Perf_Score]],Lookup_Performance!$A:$D,3,TRUE)</f>
        <v>Needs Improvement</v>
      </c>
      <c r="N107" t="s">
        <v>306</v>
      </c>
    </row>
    <row r="108" spans="2:14" x14ac:dyDescent="0.3">
      <c r="B108" t="s">
        <v>215</v>
      </c>
      <c r="C108" t="s">
        <v>66</v>
      </c>
      <c r="D108" t="s">
        <v>60</v>
      </c>
      <c r="E108" t="str">
        <f>TRIM(Table1[[#This Row],[First_Name]]&amp;" "&amp;Table1[[#This Row],[Last_Name]])</f>
        <v>James Jones</v>
      </c>
      <c r="F108" t="s">
        <v>11</v>
      </c>
      <c r="G108" t="str">
        <f>VLOOKUP(Table1[[#This Row],[Dept Code]],Lookup_Departments!$A:$B,2,FALSE)</f>
        <v>Information Technology</v>
      </c>
      <c r="H108" s="4">
        <v>44394</v>
      </c>
      <c r="I108" s="6">
        <f ca="1">ROUND((TODAY()-Table1[[#This Row],[Hire Date]])/365.25,1)</f>
        <v>5</v>
      </c>
      <c r="J108" s="5">
        <v>91672</v>
      </c>
      <c r="K108" s="5">
        <f>J108*VLOOKUP(L108,Lookup_Performance!$A:$D,4,TRUE)</f>
        <v>7333.76</v>
      </c>
      <c r="L108">
        <v>88</v>
      </c>
      <c r="M108" t="str">
        <f>VLOOKUP(Table1[[#This Row],[Perf_Score]],Lookup_Performance!$A:$D,3,TRUE)</f>
        <v>Exceeding</v>
      </c>
      <c r="N108" t="s">
        <v>305</v>
      </c>
    </row>
    <row r="109" spans="2:14" x14ac:dyDescent="0.3">
      <c r="B109" t="s">
        <v>216</v>
      </c>
      <c r="C109" t="s">
        <v>39</v>
      </c>
      <c r="D109" t="s">
        <v>19</v>
      </c>
      <c r="E109" t="str">
        <f>TRIM(Table1[[#This Row],[First_Name]]&amp;" "&amp;Table1[[#This Row],[Last_Name]])</f>
        <v>Jessica Gonzalez</v>
      </c>
      <c r="F109" t="s">
        <v>97</v>
      </c>
      <c r="G109" t="str">
        <f>VLOOKUP(Table1[[#This Row],[Dept Code]],Lookup_Departments!$A:$B,2,FALSE)</f>
        <v>Human Resources</v>
      </c>
      <c r="H109" s="4">
        <v>42687</v>
      </c>
      <c r="I109" s="6">
        <f ca="1">ROUND((TODAY()-Table1[[#This Row],[Hire Date]])/365.25,1)</f>
        <v>9.6999999999999993</v>
      </c>
      <c r="J109" s="5">
        <v>77737</v>
      </c>
      <c r="K109" s="5">
        <f>J109*VLOOKUP(L109,Lookup_Performance!$A:$D,4,TRUE)</f>
        <v>3886.8500000000004</v>
      </c>
      <c r="L109">
        <v>77</v>
      </c>
      <c r="M109" t="str">
        <f>VLOOKUP(Table1[[#This Row],[Perf_Score]],Lookup_Performance!$A:$D,3,TRUE)</f>
        <v>Achieving</v>
      </c>
      <c r="N109" t="s">
        <v>305</v>
      </c>
    </row>
    <row r="110" spans="2:14" x14ac:dyDescent="0.3">
      <c r="B110" t="s">
        <v>219</v>
      </c>
      <c r="C110" t="s">
        <v>94</v>
      </c>
      <c r="D110" t="s">
        <v>47</v>
      </c>
      <c r="E110" t="str">
        <f>TRIM(Table1[[#This Row],[First_Name]]&amp;" "&amp;Table1[[#This Row],[Last_Name]])</f>
        <v>Sarah Miller</v>
      </c>
      <c r="F110" t="s">
        <v>44</v>
      </c>
      <c r="G110" t="str">
        <f>VLOOKUP(Table1[[#This Row],[Dept Code]],Lookup_Departments!$A:$B,2,FALSE)</f>
        <v>Sales</v>
      </c>
      <c r="H110" s="4">
        <v>43513</v>
      </c>
      <c r="I110" s="6">
        <f ca="1">ROUND((TODAY()-Table1[[#This Row],[Hire Date]])/365.25,1)</f>
        <v>7.4</v>
      </c>
      <c r="J110" s="5">
        <v>95686</v>
      </c>
      <c r="K110" s="5">
        <f>J110*VLOOKUP(L110,Lookup_Performance!$A:$D,4,TRUE)</f>
        <v>7654.88</v>
      </c>
      <c r="L110">
        <v>91</v>
      </c>
      <c r="M110" t="str">
        <f>VLOOKUP(Table1[[#This Row],[Perf_Score]],Lookup_Performance!$A:$D,3,TRUE)</f>
        <v>Exceeding</v>
      </c>
      <c r="N110" t="s">
        <v>305</v>
      </c>
    </row>
    <row r="111" spans="2:14" x14ac:dyDescent="0.3">
      <c r="B111" t="s">
        <v>221</v>
      </c>
      <c r="C111" t="s">
        <v>39</v>
      </c>
      <c r="D111" t="s">
        <v>29</v>
      </c>
      <c r="E111" t="str">
        <f>TRIM(Table1[[#This Row],[First_Name]]&amp;" "&amp;Table1[[#This Row],[Last_Name]])</f>
        <v>Jessica Smith</v>
      </c>
      <c r="F111" t="s">
        <v>44</v>
      </c>
      <c r="G111" t="str">
        <f>VLOOKUP(Table1[[#This Row],[Dept Code]],Lookup_Departments!$A:$B,2,FALSE)</f>
        <v>Sales</v>
      </c>
      <c r="H111" s="4">
        <v>42625</v>
      </c>
      <c r="I111" s="6">
        <f ca="1">ROUND((TODAY()-Table1[[#This Row],[Hire Date]])/365.25,1)</f>
        <v>9.8000000000000007</v>
      </c>
      <c r="J111" s="5">
        <v>114681</v>
      </c>
      <c r="K111" s="5">
        <f>J111*VLOOKUP(L111,Lookup_Performance!$A:$D,4,TRUE)</f>
        <v>0</v>
      </c>
      <c r="L111">
        <v>36</v>
      </c>
      <c r="M111" t="str">
        <f>VLOOKUP(Table1[[#This Row],[Perf_Score]],Lookup_Performance!$A:$D,3,TRUE)</f>
        <v>Needs Improvement</v>
      </c>
      <c r="N111" t="s">
        <v>305</v>
      </c>
    </row>
    <row r="112" spans="2:14" x14ac:dyDescent="0.3">
      <c r="B112" t="s">
        <v>222</v>
      </c>
      <c r="C112" t="s">
        <v>28</v>
      </c>
      <c r="D112" t="s">
        <v>60</v>
      </c>
      <c r="E112" t="str">
        <f>TRIM(Table1[[#This Row],[First_Name]]&amp;" "&amp;Table1[[#This Row],[Last_Name]])</f>
        <v>Thomas Jones</v>
      </c>
      <c r="F112" t="s">
        <v>33</v>
      </c>
      <c r="G112" t="str">
        <f>VLOOKUP(Table1[[#This Row],[Dept Code]],Lookup_Departments!$A:$B,2,FALSE)</f>
        <v>Operations</v>
      </c>
      <c r="H112" s="4">
        <v>44421</v>
      </c>
      <c r="I112" s="6">
        <f ca="1">ROUND((TODAY()-Table1[[#This Row],[Hire Date]])/365.25,1)</f>
        <v>4.9000000000000004</v>
      </c>
      <c r="J112" s="5">
        <v>109121</v>
      </c>
      <c r="K112" s="5">
        <f>J112*VLOOKUP(L112,Lookup_Performance!$A:$D,4,TRUE)</f>
        <v>5456.05</v>
      </c>
      <c r="L112">
        <v>72</v>
      </c>
      <c r="M112" t="str">
        <f>VLOOKUP(Table1[[#This Row],[Perf_Score]],Lookup_Performance!$A:$D,3,TRUE)</f>
        <v>Achieving</v>
      </c>
      <c r="N112" t="s">
        <v>305</v>
      </c>
    </row>
    <row r="113" spans="2:14" x14ac:dyDescent="0.3">
      <c r="B113" t="s">
        <v>225</v>
      </c>
      <c r="C113" t="s">
        <v>71</v>
      </c>
      <c r="D113" t="s">
        <v>10</v>
      </c>
      <c r="E113" t="str">
        <f>TRIM(Table1[[#This Row],[First_Name]]&amp;" "&amp;Table1[[#This Row],[Last_Name]])</f>
        <v>Amanda Brown</v>
      </c>
      <c r="F113" t="s">
        <v>16</v>
      </c>
      <c r="G113" t="str">
        <f>VLOOKUP(Table1[[#This Row],[Dept Code]],Lookup_Departments!$A:$B,2,FALSE)</f>
        <v>Marketing</v>
      </c>
      <c r="H113" s="4">
        <v>43996</v>
      </c>
      <c r="I113" s="6">
        <f ca="1">ROUND((TODAY()-Table1[[#This Row],[Hire Date]])/365.25,1)</f>
        <v>6.1</v>
      </c>
      <c r="J113" s="5">
        <v>112791</v>
      </c>
      <c r="K113" s="5">
        <f>J113*VLOOKUP(L113,Lookup_Performance!$A:$D,4,TRUE)</f>
        <v>9023.2800000000007</v>
      </c>
      <c r="L113">
        <v>87</v>
      </c>
      <c r="M113" t="str">
        <f>VLOOKUP(Table1[[#This Row],[Perf_Score]],Lookup_Performance!$A:$D,3,TRUE)</f>
        <v>Exceeding</v>
      </c>
      <c r="N113" t="s">
        <v>305</v>
      </c>
    </row>
    <row r="114" spans="2:14" x14ac:dyDescent="0.3">
      <c r="B114" t="s">
        <v>227</v>
      </c>
      <c r="C114" t="s">
        <v>59</v>
      </c>
      <c r="D114" t="s">
        <v>25</v>
      </c>
      <c r="E114" t="str">
        <f>TRIM(Table1[[#This Row],[First_Name]]&amp;" "&amp;Table1[[#This Row],[Last_Name]])</f>
        <v>Robert Martinez</v>
      </c>
      <c r="F114" t="s">
        <v>11</v>
      </c>
      <c r="G114" t="str">
        <f>VLOOKUP(Table1[[#This Row],[Dept Code]],Lookup_Departments!$A:$B,2,FALSE)</f>
        <v>Information Technology</v>
      </c>
      <c r="H114" s="4">
        <v>44747</v>
      </c>
      <c r="I114" s="6">
        <f ca="1">ROUND((TODAY()-Table1[[#This Row],[Hire Date]])/365.25,1)</f>
        <v>4</v>
      </c>
      <c r="J114" s="5">
        <v>118008</v>
      </c>
      <c r="K114" s="5">
        <f>J114*VLOOKUP(L114,Lookup_Performance!$A:$D,4,TRUE)</f>
        <v>5900.4000000000005</v>
      </c>
      <c r="L114">
        <v>71</v>
      </c>
      <c r="M114" t="str">
        <f>VLOOKUP(Table1[[#This Row],[Perf_Score]],Lookup_Performance!$A:$D,3,TRUE)</f>
        <v>Achieving</v>
      </c>
      <c r="N114" t="s">
        <v>305</v>
      </c>
    </row>
    <row r="115" spans="2:14" x14ac:dyDescent="0.3">
      <c r="B115" t="s">
        <v>229</v>
      </c>
      <c r="C115" t="s">
        <v>28</v>
      </c>
      <c r="D115" t="s">
        <v>47</v>
      </c>
      <c r="E115" t="str">
        <f>TRIM(Table1[[#This Row],[First_Name]]&amp;" "&amp;Table1[[#This Row],[Last_Name]])</f>
        <v>Thomas Miller</v>
      </c>
      <c r="F115" t="s">
        <v>11</v>
      </c>
      <c r="G115" t="str">
        <f>VLOOKUP(Table1[[#This Row],[Dept Code]],Lookup_Departments!$A:$B,2,FALSE)</f>
        <v>Information Technology</v>
      </c>
      <c r="H115" s="4">
        <v>42561</v>
      </c>
      <c r="I115" s="6">
        <f ca="1">ROUND((TODAY()-Table1[[#This Row],[Hire Date]])/365.25,1)</f>
        <v>10</v>
      </c>
      <c r="J115" s="5">
        <v>74370</v>
      </c>
      <c r="K115" s="5">
        <f>J115*VLOOKUP(L115,Lookup_Performance!$A:$D,4,TRUE)</f>
        <v>3718.5</v>
      </c>
      <c r="L115">
        <v>82</v>
      </c>
      <c r="M115" t="str">
        <f>VLOOKUP(Table1[[#This Row],[Perf_Score]],Lookup_Performance!$A:$D,3,TRUE)</f>
        <v>Achieving</v>
      </c>
      <c r="N115" t="s">
        <v>305</v>
      </c>
    </row>
    <row r="116" spans="2:14" x14ac:dyDescent="0.3">
      <c r="B116" t="s">
        <v>231</v>
      </c>
      <c r="C116" t="s">
        <v>113</v>
      </c>
      <c r="D116" t="s">
        <v>41</v>
      </c>
      <c r="E116" t="str">
        <f>TRIM(Table1[[#This Row],[First_Name]]&amp;" "&amp;Table1[[#This Row],[Last_Name]])</f>
        <v>David Rodriguez</v>
      </c>
      <c r="F116" t="s">
        <v>11</v>
      </c>
      <c r="G116" t="str">
        <f>VLOOKUP(Table1[[#This Row],[Dept Code]],Lookup_Departments!$A:$B,2,FALSE)</f>
        <v>Information Technology</v>
      </c>
      <c r="H116" s="4">
        <v>44674</v>
      </c>
      <c r="I116" s="6">
        <f ca="1">ROUND((TODAY()-Table1[[#This Row],[Hire Date]])/365.25,1)</f>
        <v>4.2</v>
      </c>
      <c r="J116" s="5">
        <v>77819</v>
      </c>
      <c r="K116" s="5">
        <f>J116*VLOOKUP(L116,Lookup_Performance!$A:$D,4,TRUE)</f>
        <v>3890.9500000000003</v>
      </c>
      <c r="L116">
        <v>79</v>
      </c>
      <c r="M116" t="str">
        <f>VLOOKUP(Table1[[#This Row],[Perf_Score]],Lookup_Performance!$A:$D,3,TRUE)</f>
        <v>Achieving</v>
      </c>
      <c r="N116" t="s">
        <v>305</v>
      </c>
    </row>
    <row r="117" spans="2:14" x14ac:dyDescent="0.3">
      <c r="B117" t="s">
        <v>232</v>
      </c>
      <c r="C117" t="s">
        <v>53</v>
      </c>
      <c r="D117" t="s">
        <v>47</v>
      </c>
      <c r="E117" t="str">
        <f>TRIM(Table1[[#This Row],[First_Name]]&amp;" "&amp;Table1[[#This Row],[Last_Name]])</f>
        <v>Jane Miller</v>
      </c>
      <c r="F117" t="s">
        <v>16</v>
      </c>
      <c r="G117" t="str">
        <f>VLOOKUP(Table1[[#This Row],[Dept Code]],Lookup_Departments!$A:$B,2,FALSE)</f>
        <v>Marketing</v>
      </c>
      <c r="H117" s="4">
        <v>42865</v>
      </c>
      <c r="I117" s="6">
        <f ca="1">ROUND((TODAY()-Table1[[#This Row],[Hire Date]])/365.25,1)</f>
        <v>9.1999999999999993</v>
      </c>
      <c r="J117" s="5">
        <v>48748</v>
      </c>
      <c r="K117" s="5">
        <f>J117*VLOOKUP(L117,Lookup_Performance!$A:$D,4,TRUE)</f>
        <v>2437.4</v>
      </c>
      <c r="L117">
        <v>83</v>
      </c>
      <c r="M117" t="str">
        <f>VLOOKUP(Table1[[#This Row],[Perf_Score]],Lookup_Performance!$A:$D,3,TRUE)</f>
        <v>Achieving</v>
      </c>
      <c r="N117" t="s">
        <v>305</v>
      </c>
    </row>
    <row r="118" spans="2:14" x14ac:dyDescent="0.3">
      <c r="B118" t="s">
        <v>234</v>
      </c>
      <c r="C118" t="s">
        <v>66</v>
      </c>
      <c r="D118" t="s">
        <v>41</v>
      </c>
      <c r="E118" t="str">
        <f>TRIM(Table1[[#This Row],[First_Name]]&amp;" "&amp;Table1[[#This Row],[Last_Name]])</f>
        <v>James Rodriguez</v>
      </c>
      <c r="F118" t="s">
        <v>33</v>
      </c>
      <c r="G118" t="str">
        <f>VLOOKUP(Table1[[#This Row],[Dept Code]],Lookup_Departments!$A:$B,2,FALSE)</f>
        <v>Operations</v>
      </c>
      <c r="H118" s="4">
        <v>43971</v>
      </c>
      <c r="I118" s="6">
        <f ca="1">ROUND((TODAY()-Table1[[#This Row],[Hire Date]])/365.25,1)</f>
        <v>6.1</v>
      </c>
      <c r="J118" s="5">
        <v>101997</v>
      </c>
      <c r="K118" s="5">
        <f>J118*VLOOKUP(L118,Lookup_Performance!$A:$D,4,TRUE)</f>
        <v>0</v>
      </c>
      <c r="L118">
        <v>38</v>
      </c>
      <c r="M118" t="str">
        <f>VLOOKUP(Table1[[#This Row],[Perf_Score]],Lookup_Performance!$A:$D,3,TRUE)</f>
        <v>Needs Improvement</v>
      </c>
      <c r="N118" t="s">
        <v>307</v>
      </c>
    </row>
    <row r="119" spans="2:14" x14ac:dyDescent="0.3">
      <c r="B119" t="s">
        <v>235</v>
      </c>
      <c r="C119" t="s">
        <v>94</v>
      </c>
      <c r="D119" t="s">
        <v>41</v>
      </c>
      <c r="E119" t="str">
        <f>TRIM(Table1[[#This Row],[First_Name]]&amp;" "&amp;Table1[[#This Row],[Last_Name]])</f>
        <v>Sarah Rodriguez</v>
      </c>
      <c r="F119" t="s">
        <v>97</v>
      </c>
      <c r="G119" t="str">
        <f>VLOOKUP(Table1[[#This Row],[Dept Code]],Lookup_Departments!$A:$B,2,FALSE)</f>
        <v>Human Resources</v>
      </c>
      <c r="H119" s="4">
        <v>45036</v>
      </c>
      <c r="I119" s="6">
        <f ca="1">ROUND((TODAY()-Table1[[#This Row],[Hire Date]])/365.25,1)</f>
        <v>3.2</v>
      </c>
      <c r="J119" s="5">
        <v>115260</v>
      </c>
      <c r="K119" s="5">
        <f>J119*VLOOKUP(L119,Lookup_Performance!$A:$D,4,TRUE)</f>
        <v>5763</v>
      </c>
      <c r="L119">
        <v>77</v>
      </c>
      <c r="M119" t="str">
        <f>VLOOKUP(Table1[[#This Row],[Perf_Score]],Lookup_Performance!$A:$D,3,TRUE)</f>
        <v>Achieving</v>
      </c>
      <c r="N119" t="s">
        <v>305</v>
      </c>
    </row>
    <row r="120" spans="2:14" x14ac:dyDescent="0.3">
      <c r="B120" t="s">
        <v>237</v>
      </c>
      <c r="C120" t="s">
        <v>94</v>
      </c>
      <c r="D120" t="s">
        <v>36</v>
      </c>
      <c r="E120" t="str">
        <f>TRIM(Table1[[#This Row],[First_Name]]&amp;" "&amp;Table1[[#This Row],[Last_Name]])</f>
        <v>Sarah Wilson</v>
      </c>
      <c r="F120" t="s">
        <v>44</v>
      </c>
      <c r="G120" t="str">
        <f>VLOOKUP(Table1[[#This Row],[Dept Code]],Lookup_Departments!$A:$B,2,FALSE)</f>
        <v>Sales</v>
      </c>
      <c r="H120" s="4">
        <v>44500</v>
      </c>
      <c r="I120" s="6">
        <f ca="1">ROUND((TODAY()-Table1[[#This Row],[Hire Date]])/365.25,1)</f>
        <v>4.7</v>
      </c>
      <c r="J120" s="5">
        <v>77610</v>
      </c>
      <c r="K120" s="5">
        <f>J120*VLOOKUP(L120,Lookup_Performance!$A:$D,4,TRUE)</f>
        <v>0</v>
      </c>
      <c r="L120">
        <v>49</v>
      </c>
      <c r="M120" t="str">
        <f>VLOOKUP(Table1[[#This Row],[Perf_Score]],Lookup_Performance!$A:$D,3,TRUE)</f>
        <v>Needs Improvement</v>
      </c>
      <c r="N120" t="s">
        <v>305</v>
      </c>
    </row>
    <row r="121" spans="2:14" x14ac:dyDescent="0.3">
      <c r="B121" t="s">
        <v>238</v>
      </c>
      <c r="C121" t="s">
        <v>105</v>
      </c>
      <c r="D121" t="s">
        <v>10</v>
      </c>
      <c r="E121" t="str">
        <f>TRIM(Table1[[#This Row],[First_Name]]&amp;" "&amp;Table1[[#This Row],[Last_Name]])</f>
        <v>Melissa Brown</v>
      </c>
      <c r="F121" t="s">
        <v>11</v>
      </c>
      <c r="G121" t="str">
        <f>VLOOKUP(Table1[[#This Row],[Dept Code]],Lookup_Departments!$A:$B,2,FALSE)</f>
        <v>Information Technology</v>
      </c>
      <c r="H121" s="4">
        <v>44493</v>
      </c>
      <c r="I121" s="6">
        <f ca="1">ROUND((TODAY()-Table1[[#This Row],[Hire Date]])/365.25,1)</f>
        <v>4.7</v>
      </c>
      <c r="J121" s="5">
        <v>76218.5</v>
      </c>
      <c r="K121" s="5">
        <f>J121*VLOOKUP(L121,Lookup_Performance!$A:$D,4,TRUE)</f>
        <v>1524.3700000000001</v>
      </c>
      <c r="L121">
        <v>69</v>
      </c>
      <c r="M121" t="str">
        <f>VLOOKUP(Table1[[#This Row],[Perf_Score]],Lookup_Performance!$A:$D,3,TRUE)</f>
        <v>Developing</v>
      </c>
      <c r="N121" t="s">
        <v>306</v>
      </c>
    </row>
    <row r="122" spans="2:14" x14ac:dyDescent="0.3">
      <c r="B122" t="s">
        <v>240</v>
      </c>
      <c r="C122" t="s">
        <v>59</v>
      </c>
      <c r="D122" t="s">
        <v>54</v>
      </c>
      <c r="E122" t="str">
        <f>TRIM(Table1[[#This Row],[First_Name]]&amp;" "&amp;Table1[[#This Row],[Last_Name]])</f>
        <v>Robert Williams</v>
      </c>
      <c r="F122" t="s">
        <v>44</v>
      </c>
      <c r="G122" t="str">
        <f>VLOOKUP(Table1[[#This Row],[Dept Code]],Lookup_Departments!$A:$B,2,FALSE)</f>
        <v>Sales</v>
      </c>
      <c r="H122" s="4">
        <v>42956</v>
      </c>
      <c r="I122" s="6">
        <f ca="1">ROUND((TODAY()-Table1[[#This Row],[Hire Date]])/365.25,1)</f>
        <v>8.9</v>
      </c>
      <c r="J122" s="5">
        <v>77610</v>
      </c>
      <c r="K122" s="5">
        <f>J122*VLOOKUP(L122,Lookup_Performance!$A:$D,4,TRUE)</f>
        <v>3880.5</v>
      </c>
      <c r="L122">
        <v>76</v>
      </c>
      <c r="M122" t="str">
        <f>VLOOKUP(Table1[[#This Row],[Perf_Score]],Lookup_Performance!$A:$D,3,TRUE)</f>
        <v>Achieving</v>
      </c>
      <c r="N122" t="s">
        <v>305</v>
      </c>
    </row>
    <row r="123" spans="2:14" x14ac:dyDescent="0.3">
      <c r="B123" t="s">
        <v>241</v>
      </c>
      <c r="C123" t="s">
        <v>105</v>
      </c>
      <c r="D123" t="s">
        <v>41</v>
      </c>
      <c r="E123" t="str">
        <f>TRIM(Table1[[#This Row],[First_Name]]&amp;" "&amp;Table1[[#This Row],[Last_Name]])</f>
        <v>Melissa Rodriguez</v>
      </c>
      <c r="F123" t="s">
        <v>33</v>
      </c>
      <c r="G123" t="str">
        <f>VLOOKUP(Table1[[#This Row],[Dept Code]],Lookup_Departments!$A:$B,2,FALSE)</f>
        <v>Operations</v>
      </c>
      <c r="H123" s="4">
        <v>44930</v>
      </c>
      <c r="I123" s="6">
        <f ca="1">ROUND((TODAY()-Table1[[#This Row],[Hire Date]])/365.25,1)</f>
        <v>3.5</v>
      </c>
      <c r="J123" s="5">
        <v>60623</v>
      </c>
      <c r="K123" s="5">
        <f>J123*VLOOKUP(L123,Lookup_Performance!$A:$D,4,TRUE)</f>
        <v>3031.15</v>
      </c>
      <c r="L123">
        <v>78</v>
      </c>
      <c r="M123" t="str">
        <f>VLOOKUP(Table1[[#This Row],[Perf_Score]],Lookup_Performance!$A:$D,3,TRUE)</f>
        <v>Achieving</v>
      </c>
      <c r="N123" t="s">
        <v>305</v>
      </c>
    </row>
    <row r="124" spans="2:14" x14ac:dyDescent="0.3">
      <c r="B124" t="s">
        <v>242</v>
      </c>
      <c r="C124" t="s">
        <v>66</v>
      </c>
      <c r="D124" t="s">
        <v>32</v>
      </c>
      <c r="E124" t="str">
        <f>TRIM(Table1[[#This Row],[First_Name]]&amp;" "&amp;Table1[[#This Row],[Last_Name]])</f>
        <v>James Johnson</v>
      </c>
      <c r="F124" t="s">
        <v>97</v>
      </c>
      <c r="G124" t="str">
        <f>VLOOKUP(Table1[[#This Row],[Dept Code]],Lookup_Departments!$A:$B,2,FALSE)</f>
        <v>Human Resources</v>
      </c>
      <c r="H124" s="4">
        <v>44053</v>
      </c>
      <c r="I124" s="6">
        <f ca="1">ROUND((TODAY()-Table1[[#This Row],[Hire Date]])/365.25,1)</f>
        <v>5.9</v>
      </c>
      <c r="J124" s="5">
        <v>68092</v>
      </c>
      <c r="K124" s="5">
        <f>J124*VLOOKUP(L124,Lookup_Performance!$A:$D,4,TRUE)</f>
        <v>5447.36</v>
      </c>
      <c r="L124">
        <v>93</v>
      </c>
      <c r="M124" t="str">
        <f>VLOOKUP(Table1[[#This Row],[Perf_Score]],Lookup_Performance!$A:$D,3,TRUE)</f>
        <v>Exceeding</v>
      </c>
      <c r="N124" t="s">
        <v>305</v>
      </c>
    </row>
    <row r="125" spans="2:14" x14ac:dyDescent="0.3">
      <c r="B125" t="s">
        <v>245</v>
      </c>
      <c r="C125" t="s">
        <v>43</v>
      </c>
      <c r="D125" t="s">
        <v>36</v>
      </c>
      <c r="E125" t="str">
        <f>TRIM(Table1[[#This Row],[First_Name]]&amp;" "&amp;Table1[[#This Row],[Last_Name]])</f>
        <v>Michael Wilson</v>
      </c>
      <c r="F125" t="s">
        <v>16</v>
      </c>
      <c r="G125" t="str">
        <f>VLOOKUP(Table1[[#This Row],[Dept Code]],Lookup_Departments!$A:$B,2,FALSE)</f>
        <v>Marketing</v>
      </c>
      <c r="H125" s="4">
        <v>44653</v>
      </c>
      <c r="I125" s="6">
        <f ca="1">ROUND((TODAY()-Table1[[#This Row],[Hire Date]])/365.25,1)</f>
        <v>4.3</v>
      </c>
      <c r="J125" s="5">
        <v>88155</v>
      </c>
      <c r="K125" s="5">
        <f>J125*VLOOKUP(L125,Lookup_Performance!$A:$D,4,TRUE)</f>
        <v>1763.1000000000001</v>
      </c>
      <c r="L125">
        <v>68</v>
      </c>
      <c r="M125" t="str">
        <f>VLOOKUP(Table1[[#This Row],[Perf_Score]],Lookup_Performance!$A:$D,3,TRUE)</f>
        <v>Developing</v>
      </c>
      <c r="N125" t="s">
        <v>305</v>
      </c>
    </row>
    <row r="126" spans="2:14" x14ac:dyDescent="0.3">
      <c r="B126" t="s">
        <v>246</v>
      </c>
      <c r="C126" t="s">
        <v>160</v>
      </c>
      <c r="D126" t="s">
        <v>60</v>
      </c>
      <c r="E126" t="str">
        <f>TRIM(Table1[[#This Row],[First_Name]]&amp;" "&amp;Table1[[#This Row],[Last_Name]])</f>
        <v>William Jones</v>
      </c>
      <c r="F126" t="s">
        <v>16</v>
      </c>
      <c r="G126" t="str">
        <f>VLOOKUP(Table1[[#This Row],[Dept Code]],Lookup_Departments!$A:$B,2,FALSE)</f>
        <v>Marketing</v>
      </c>
      <c r="H126" s="4">
        <v>43183</v>
      </c>
      <c r="I126" s="6">
        <f ca="1">ROUND((TODAY()-Table1[[#This Row],[Hire Date]])/365.25,1)</f>
        <v>8.3000000000000007</v>
      </c>
      <c r="J126" s="5">
        <v>107903</v>
      </c>
      <c r="K126" s="5">
        <f>J126*VLOOKUP(L126,Lookup_Performance!$A:$D,4,TRUE)</f>
        <v>0</v>
      </c>
      <c r="L126">
        <v>42</v>
      </c>
      <c r="M126" t="str">
        <f>VLOOKUP(Table1[[#This Row],[Perf_Score]],Lookup_Performance!$A:$D,3,TRUE)</f>
        <v>Needs Improvement</v>
      </c>
      <c r="N126" t="s">
        <v>305</v>
      </c>
    </row>
    <row r="127" spans="2:14" x14ac:dyDescent="0.3">
      <c r="B127" t="s">
        <v>248</v>
      </c>
      <c r="C127" t="s">
        <v>160</v>
      </c>
      <c r="D127" t="s">
        <v>54</v>
      </c>
      <c r="E127" t="str">
        <f>TRIM(Table1[[#This Row],[First_Name]]&amp;" "&amp;Table1[[#This Row],[Last_Name]])</f>
        <v>William Williams</v>
      </c>
      <c r="F127" t="s">
        <v>11</v>
      </c>
      <c r="G127" t="str">
        <f>VLOOKUP(Table1[[#This Row],[Dept Code]],Lookup_Departments!$A:$B,2,FALSE)</f>
        <v>Information Technology</v>
      </c>
      <c r="H127" s="4">
        <v>43305</v>
      </c>
      <c r="I127" s="6">
        <f ca="1">ROUND((TODAY()-Table1[[#This Row],[Hire Date]])/365.25,1)</f>
        <v>8</v>
      </c>
      <c r="J127" s="5">
        <v>62818</v>
      </c>
      <c r="K127" s="5">
        <f>J127*VLOOKUP(L127,Lookup_Performance!$A:$D,4,TRUE)</f>
        <v>0</v>
      </c>
      <c r="L127">
        <v>34</v>
      </c>
      <c r="M127" t="str">
        <f>VLOOKUP(Table1[[#This Row],[Perf_Score]],Lookup_Performance!$A:$D,3,TRUE)</f>
        <v>Needs Improvement</v>
      </c>
      <c r="N127" t="s">
        <v>305</v>
      </c>
    </row>
    <row r="128" spans="2:14" x14ac:dyDescent="0.3">
      <c r="B128" t="s">
        <v>249</v>
      </c>
      <c r="C128" t="s">
        <v>113</v>
      </c>
      <c r="D128" t="s">
        <v>54</v>
      </c>
      <c r="E128" t="str">
        <f>TRIM(Table1[[#This Row],[First_Name]]&amp;" "&amp;Table1[[#This Row],[Last_Name]])</f>
        <v>David Williams</v>
      </c>
      <c r="F128" t="s">
        <v>97</v>
      </c>
      <c r="G128" t="str">
        <f>VLOOKUP(Table1[[#This Row],[Dept Code]],Lookup_Departments!$A:$B,2,FALSE)</f>
        <v>Human Resources</v>
      </c>
      <c r="H128" s="4">
        <v>43301</v>
      </c>
      <c r="I128" s="6">
        <f ca="1">ROUND((TODAY()-Table1[[#This Row],[Hire Date]])/365.25,1)</f>
        <v>8</v>
      </c>
      <c r="J128" s="5">
        <v>85151</v>
      </c>
      <c r="K128" s="5">
        <f>J128*VLOOKUP(L128,Lookup_Performance!$A:$D,4,TRUE)</f>
        <v>0</v>
      </c>
      <c r="L128">
        <v>35</v>
      </c>
      <c r="M128" t="str">
        <f>VLOOKUP(Table1[[#This Row],[Perf_Score]],Lookup_Performance!$A:$D,3,TRUE)</f>
        <v>Needs Improvement</v>
      </c>
      <c r="N128" t="s">
        <v>305</v>
      </c>
    </row>
    <row r="129" spans="2:14" x14ac:dyDescent="0.3">
      <c r="B129" t="s">
        <v>250</v>
      </c>
      <c r="C129" t="s">
        <v>53</v>
      </c>
      <c r="D129" t="s">
        <v>64</v>
      </c>
      <c r="E129" t="str">
        <f>TRIM(Table1[[#This Row],[First_Name]]&amp;" "&amp;Table1[[#This Row],[Last_Name]])</f>
        <v>Jane Davis</v>
      </c>
      <c r="F129" t="s">
        <v>26</v>
      </c>
      <c r="G129" t="str">
        <f>VLOOKUP(Table1[[#This Row],[Dept Code]],Lookup_Departments!$A:$B,2,FALSE)</f>
        <v>Finance</v>
      </c>
      <c r="H129" s="4">
        <v>42433</v>
      </c>
      <c r="I129" s="6">
        <f ca="1">ROUND((TODAY()-Table1[[#This Row],[Hire Date]])/365.25,1)</f>
        <v>10.3</v>
      </c>
      <c r="J129" s="5">
        <v>46390</v>
      </c>
      <c r="K129" s="5">
        <f>J129*VLOOKUP(L129,Lookup_Performance!$A:$D,4,TRUE)</f>
        <v>5566.8</v>
      </c>
      <c r="L129">
        <v>95</v>
      </c>
      <c r="M129" t="str">
        <f>VLOOKUP(Table1[[#This Row],[Perf_Score]],Lookup_Performance!$A:$D,3,TRUE)</f>
        <v>Outstanding</v>
      </c>
      <c r="N129" t="s">
        <v>305</v>
      </c>
    </row>
    <row r="130" spans="2:14" x14ac:dyDescent="0.3">
      <c r="B130" t="s">
        <v>252</v>
      </c>
      <c r="C130" t="s">
        <v>24</v>
      </c>
      <c r="D130" t="s">
        <v>25</v>
      </c>
      <c r="E130" t="str">
        <f>TRIM(Table1[[#This Row],[First_Name]]&amp;" "&amp;Table1[[#This Row],[Last_Name]])</f>
        <v>John Martinez</v>
      </c>
      <c r="F130" t="s">
        <v>97</v>
      </c>
      <c r="G130" t="str">
        <f>VLOOKUP(Table1[[#This Row],[Dept Code]],Lookup_Departments!$A:$B,2,FALSE)</f>
        <v>Human Resources</v>
      </c>
      <c r="H130" s="4">
        <v>44643</v>
      </c>
      <c r="I130" s="6">
        <f ca="1">ROUND((TODAY()-Table1[[#This Row],[Hire Date]])/365.25,1)</f>
        <v>4.3</v>
      </c>
      <c r="J130" s="5">
        <v>111920</v>
      </c>
      <c r="K130" s="5">
        <f>J130*VLOOKUP(L130,Lookup_Performance!$A:$D,4,TRUE)</f>
        <v>8953.6</v>
      </c>
      <c r="L130">
        <v>90</v>
      </c>
      <c r="M130" t="str">
        <f>VLOOKUP(Table1[[#This Row],[Perf_Score]],Lookup_Performance!$A:$D,3,TRUE)</f>
        <v>Exceeding</v>
      </c>
      <c r="N130" t="s">
        <v>306</v>
      </c>
    </row>
    <row r="131" spans="2:14" x14ac:dyDescent="0.3">
      <c r="B131" t="s">
        <v>253</v>
      </c>
      <c r="C131" t="s">
        <v>113</v>
      </c>
      <c r="D131" t="s">
        <v>135</v>
      </c>
      <c r="E131" t="str">
        <f>TRIM(Table1[[#This Row],[First_Name]]&amp;" "&amp;Table1[[#This Row],[Last_Name]])</f>
        <v>David Anderson</v>
      </c>
      <c r="F131" t="s">
        <v>97</v>
      </c>
      <c r="G131" t="str">
        <f>VLOOKUP(Table1[[#This Row],[Dept Code]],Lookup_Departments!$A:$B,2,FALSE)</f>
        <v>Human Resources</v>
      </c>
      <c r="H131" s="4">
        <v>42944</v>
      </c>
      <c r="I131" s="6">
        <f ca="1">ROUND((TODAY()-Table1[[#This Row],[Hire Date]])/365.25,1)</f>
        <v>8.9</v>
      </c>
      <c r="J131" s="5">
        <v>115618</v>
      </c>
      <c r="K131" s="5">
        <f>J131*VLOOKUP(L131,Lookup_Performance!$A:$D,4,TRUE)</f>
        <v>0</v>
      </c>
      <c r="L131">
        <v>42</v>
      </c>
      <c r="M131" t="str">
        <f>VLOOKUP(Table1[[#This Row],[Perf_Score]],Lookup_Performance!$A:$D,3,TRUE)</f>
        <v>Needs Improvement</v>
      </c>
      <c r="N131" t="s">
        <v>305</v>
      </c>
    </row>
    <row r="132" spans="2:14" x14ac:dyDescent="0.3">
      <c r="B132" t="s">
        <v>256</v>
      </c>
      <c r="C132" t="s">
        <v>94</v>
      </c>
      <c r="D132" t="s">
        <v>29</v>
      </c>
      <c r="E132" t="str">
        <f>TRIM(Table1[[#This Row],[First_Name]]&amp;" "&amp;Table1[[#This Row],[Last_Name]])</f>
        <v>Sarah Smith</v>
      </c>
      <c r="F132" t="s">
        <v>44</v>
      </c>
      <c r="G132" t="str">
        <f>VLOOKUP(Table1[[#This Row],[Dept Code]],Lookup_Departments!$A:$B,2,FALSE)</f>
        <v>Sales</v>
      </c>
      <c r="H132" s="4">
        <v>45057</v>
      </c>
      <c r="I132" s="6">
        <f ca="1">ROUND((TODAY()-Table1[[#This Row],[Hire Date]])/365.25,1)</f>
        <v>3.2</v>
      </c>
      <c r="J132" s="5">
        <v>110618</v>
      </c>
      <c r="K132" s="5">
        <f>J132*VLOOKUP(L132,Lookup_Performance!$A:$D,4,TRUE)</f>
        <v>8849.44</v>
      </c>
      <c r="L132">
        <v>88</v>
      </c>
      <c r="M132" t="str">
        <f>VLOOKUP(Table1[[#This Row],[Perf_Score]],Lookup_Performance!$A:$D,3,TRUE)</f>
        <v>Exceeding</v>
      </c>
      <c r="N132" t="s">
        <v>307</v>
      </c>
    </row>
    <row r="133" spans="2:14" x14ac:dyDescent="0.3">
      <c r="B133" t="s">
        <v>259</v>
      </c>
      <c r="C133" t="s">
        <v>105</v>
      </c>
      <c r="D133" t="s">
        <v>15</v>
      </c>
      <c r="E133" t="str">
        <f>TRIM(Table1[[#This Row],[First_Name]]&amp;" "&amp;Table1[[#This Row],[Last_Name]])</f>
        <v>Melissa Hernandez</v>
      </c>
      <c r="F133" t="s">
        <v>33</v>
      </c>
      <c r="G133" t="str">
        <f>VLOOKUP(Table1[[#This Row],[Dept Code]],Lookup_Departments!$A:$B,2,FALSE)</f>
        <v>Operations</v>
      </c>
      <c r="H133" s="4">
        <v>44639</v>
      </c>
      <c r="I133" s="6">
        <f ca="1">ROUND((TODAY()-Table1[[#This Row],[Hire Date]])/365.25,1)</f>
        <v>4.3</v>
      </c>
      <c r="J133" s="5">
        <v>108395</v>
      </c>
      <c r="K133" s="5">
        <f>J133*VLOOKUP(L133,Lookup_Performance!$A:$D,4,TRUE)</f>
        <v>5419.75</v>
      </c>
      <c r="L133">
        <v>78</v>
      </c>
      <c r="M133" t="str">
        <f>VLOOKUP(Table1[[#This Row],[Perf_Score]],Lookup_Performance!$A:$D,3,TRUE)</f>
        <v>Achieving</v>
      </c>
      <c r="N133" t="s">
        <v>306</v>
      </c>
    </row>
    <row r="134" spans="2:14" x14ac:dyDescent="0.3">
      <c r="B134" t="s">
        <v>261</v>
      </c>
      <c r="C134" t="s">
        <v>105</v>
      </c>
      <c r="D134" t="s">
        <v>32</v>
      </c>
      <c r="E134" t="str">
        <f>TRIM(Table1[[#This Row],[First_Name]]&amp;" "&amp;Table1[[#This Row],[Last_Name]])</f>
        <v>Melissa Johnson</v>
      </c>
      <c r="F134" t="s">
        <v>26</v>
      </c>
      <c r="G134" t="str">
        <f>VLOOKUP(Table1[[#This Row],[Dept Code]],Lookup_Departments!$A:$B,2,FALSE)</f>
        <v>Finance</v>
      </c>
      <c r="H134" s="4">
        <v>43091</v>
      </c>
      <c r="I134" s="6">
        <f ca="1">ROUND((TODAY()-Table1[[#This Row],[Hire Date]])/365.25,1)</f>
        <v>8.5</v>
      </c>
      <c r="J134" s="5">
        <v>88005</v>
      </c>
      <c r="K134" s="5">
        <f>J134*VLOOKUP(L134,Lookup_Performance!$A:$D,4,TRUE)</f>
        <v>1760.1000000000001</v>
      </c>
      <c r="L134">
        <v>69</v>
      </c>
      <c r="M134" t="str">
        <f>VLOOKUP(Table1[[#This Row],[Perf_Score]],Lookup_Performance!$A:$D,3,TRUE)</f>
        <v>Developing</v>
      </c>
      <c r="N134" t="s">
        <v>305</v>
      </c>
    </row>
    <row r="135" spans="2:14" x14ac:dyDescent="0.3">
      <c r="B135" t="s">
        <v>262</v>
      </c>
      <c r="C135" t="s">
        <v>53</v>
      </c>
      <c r="D135" t="s">
        <v>133</v>
      </c>
      <c r="E135" t="str">
        <f>TRIM(Table1[[#This Row],[First_Name]]&amp;" "&amp;Table1[[#This Row],[Last_Name]])</f>
        <v>Jane Garcia</v>
      </c>
      <c r="F135" t="s">
        <v>16</v>
      </c>
      <c r="G135" t="str">
        <f>VLOOKUP(Table1[[#This Row],[Dept Code]],Lookup_Departments!$A:$B,2,FALSE)</f>
        <v>Marketing</v>
      </c>
      <c r="H135" s="4">
        <v>44437</v>
      </c>
      <c r="I135" s="6">
        <f ca="1">ROUND((TODAY()-Table1[[#This Row],[Hire Date]])/365.25,1)</f>
        <v>4.9000000000000004</v>
      </c>
      <c r="J135" s="5">
        <v>83007</v>
      </c>
      <c r="K135" s="5">
        <f>J135*VLOOKUP(L135,Lookup_Performance!$A:$D,4,TRUE)</f>
        <v>4150.3500000000004</v>
      </c>
      <c r="L135">
        <v>82</v>
      </c>
      <c r="M135" t="str">
        <f>VLOOKUP(Table1[[#This Row],[Perf_Score]],Lookup_Performance!$A:$D,3,TRUE)</f>
        <v>Achieving</v>
      </c>
      <c r="N135" t="s">
        <v>305</v>
      </c>
    </row>
    <row r="136" spans="2:14" x14ac:dyDescent="0.3">
      <c r="B136" t="s">
        <v>264</v>
      </c>
      <c r="C136" t="s">
        <v>113</v>
      </c>
      <c r="D136" t="s">
        <v>64</v>
      </c>
      <c r="E136" t="str">
        <f>TRIM(Table1[[#This Row],[First_Name]]&amp;" "&amp;Table1[[#This Row],[Last_Name]])</f>
        <v>David Davis</v>
      </c>
      <c r="F136" t="s">
        <v>11</v>
      </c>
      <c r="G136" t="str">
        <f>VLOOKUP(Table1[[#This Row],[Dept Code]],Lookup_Departments!$A:$B,2,FALSE)</f>
        <v>Information Technology</v>
      </c>
      <c r="H136" s="4">
        <v>43360</v>
      </c>
      <c r="I136" s="6">
        <f ca="1">ROUND((TODAY()-Table1[[#This Row],[Hire Date]])/365.25,1)</f>
        <v>7.8</v>
      </c>
      <c r="J136" s="5">
        <v>61547</v>
      </c>
      <c r="K136" s="5">
        <f>J136*VLOOKUP(L136,Lookup_Performance!$A:$D,4,TRUE)</f>
        <v>1230.94</v>
      </c>
      <c r="L136">
        <v>68</v>
      </c>
      <c r="M136" t="str">
        <f>VLOOKUP(Table1[[#This Row],[Perf_Score]],Lookup_Performance!$A:$D,3,TRUE)</f>
        <v>Developing</v>
      </c>
      <c r="N136" t="s">
        <v>305</v>
      </c>
    </row>
    <row r="137" spans="2:14" x14ac:dyDescent="0.3">
      <c r="B137" t="s">
        <v>266</v>
      </c>
      <c r="C137" t="s">
        <v>66</v>
      </c>
      <c r="D137" t="s">
        <v>36</v>
      </c>
      <c r="E137" t="str">
        <f>TRIM(Table1[[#This Row],[First_Name]]&amp;" "&amp;Table1[[#This Row],[Last_Name]])</f>
        <v>James Wilson</v>
      </c>
      <c r="F137" t="s">
        <v>44</v>
      </c>
      <c r="G137" t="str">
        <f>VLOOKUP(Table1[[#This Row],[Dept Code]],Lookup_Departments!$A:$B,2,FALSE)</f>
        <v>Sales</v>
      </c>
      <c r="H137" s="4">
        <v>44375</v>
      </c>
      <c r="I137" s="6">
        <f ca="1">ROUND((TODAY()-Table1[[#This Row],[Hire Date]])/365.25,1)</f>
        <v>5</v>
      </c>
      <c r="J137" s="5">
        <v>77610</v>
      </c>
      <c r="K137" s="5">
        <f>J137*VLOOKUP(L137,Lookup_Performance!$A:$D,4,TRUE)</f>
        <v>1552.2</v>
      </c>
      <c r="L137">
        <v>52</v>
      </c>
      <c r="M137" t="str">
        <f>VLOOKUP(Table1[[#This Row],[Perf_Score]],Lookup_Performance!$A:$D,3,TRUE)</f>
        <v>Developing</v>
      </c>
      <c r="N137" t="s">
        <v>305</v>
      </c>
    </row>
    <row r="138" spans="2:14" x14ac:dyDescent="0.3">
      <c r="B138" t="s">
        <v>267</v>
      </c>
      <c r="C138" t="s">
        <v>14</v>
      </c>
      <c r="D138" t="s">
        <v>32</v>
      </c>
      <c r="E138" t="str">
        <f>TRIM(Table1[[#This Row],[First_Name]]&amp;" "&amp;Table1[[#This Row],[Last_Name]])</f>
        <v>Richard Johnson</v>
      </c>
      <c r="F138" t="s">
        <v>33</v>
      </c>
      <c r="G138" t="str">
        <f>VLOOKUP(Table1[[#This Row],[Dept Code]],Lookup_Departments!$A:$B,2,FALSE)</f>
        <v>Operations</v>
      </c>
      <c r="H138" s="4">
        <v>43011</v>
      </c>
      <c r="I138" s="6">
        <f ca="1">ROUND((TODAY()-Table1[[#This Row],[Hire Date]])/365.25,1)</f>
        <v>8.8000000000000007</v>
      </c>
      <c r="J138" s="5">
        <v>50399</v>
      </c>
      <c r="K138" s="5">
        <f>J138*VLOOKUP(L138,Lookup_Performance!$A:$D,4,TRUE)</f>
        <v>4031.92</v>
      </c>
      <c r="L138">
        <v>92</v>
      </c>
      <c r="M138" t="str">
        <f>VLOOKUP(Table1[[#This Row],[Perf_Score]],Lookup_Performance!$A:$D,3,TRUE)</f>
        <v>Exceeding</v>
      </c>
      <c r="N138" t="s">
        <v>306</v>
      </c>
    </row>
    <row r="139" spans="2:14" x14ac:dyDescent="0.3">
      <c r="B139" t="s">
        <v>269</v>
      </c>
      <c r="C139" t="s">
        <v>14</v>
      </c>
      <c r="D139" t="s">
        <v>54</v>
      </c>
      <c r="E139" t="str">
        <f>TRIM(Table1[[#This Row],[First_Name]]&amp;" "&amp;Table1[[#This Row],[Last_Name]])</f>
        <v>Richard Williams</v>
      </c>
      <c r="F139" t="s">
        <v>26</v>
      </c>
      <c r="G139" t="str">
        <f>VLOOKUP(Table1[[#This Row],[Dept Code]],Lookup_Departments!$A:$B,2,FALSE)</f>
        <v>Finance</v>
      </c>
      <c r="H139" s="4">
        <v>42299</v>
      </c>
      <c r="I139" s="6">
        <f ca="1">ROUND((TODAY()-Table1[[#This Row],[Hire Date]])/365.25,1)</f>
        <v>10.7</v>
      </c>
      <c r="J139" s="5">
        <v>85457</v>
      </c>
      <c r="K139" s="5">
        <f>J139*VLOOKUP(L139,Lookup_Performance!$A:$D,4,TRUE)</f>
        <v>1709.14</v>
      </c>
      <c r="L139">
        <v>62</v>
      </c>
      <c r="M139" t="str">
        <f>VLOOKUP(Table1[[#This Row],[Perf_Score]],Lookup_Performance!$A:$D,3,TRUE)</f>
        <v>Developing</v>
      </c>
      <c r="N139" t="s">
        <v>305</v>
      </c>
    </row>
    <row r="140" spans="2:14" x14ac:dyDescent="0.3">
      <c r="B140" t="s">
        <v>271</v>
      </c>
      <c r="C140" t="s">
        <v>24</v>
      </c>
      <c r="D140" t="s">
        <v>15</v>
      </c>
      <c r="E140" t="str">
        <f>TRIM(Table1[[#This Row],[First_Name]]&amp;" "&amp;Table1[[#This Row],[Last_Name]])</f>
        <v>John Hernandez</v>
      </c>
      <c r="F140" t="s">
        <v>33</v>
      </c>
      <c r="G140" t="str">
        <f>VLOOKUP(Table1[[#This Row],[Dept Code]],Lookup_Departments!$A:$B,2,FALSE)</f>
        <v>Operations</v>
      </c>
      <c r="H140" s="4">
        <v>43257</v>
      </c>
      <c r="I140" s="6">
        <f ca="1">ROUND((TODAY()-Table1[[#This Row],[Hire Date]])/365.25,1)</f>
        <v>8.1</v>
      </c>
      <c r="J140" s="5">
        <v>52720</v>
      </c>
      <c r="K140" s="5">
        <f>J140*VLOOKUP(L140,Lookup_Performance!$A:$D,4,TRUE)</f>
        <v>1054.4000000000001</v>
      </c>
      <c r="L140">
        <v>68</v>
      </c>
      <c r="M140" t="str">
        <f>VLOOKUP(Table1[[#This Row],[Perf_Score]],Lookup_Performance!$A:$D,3,TRUE)</f>
        <v>Developing</v>
      </c>
      <c r="N140" t="s">
        <v>305</v>
      </c>
    </row>
    <row r="141" spans="2:14" x14ac:dyDescent="0.3">
      <c r="B141" t="s">
        <v>272</v>
      </c>
      <c r="C141" t="s">
        <v>94</v>
      </c>
      <c r="D141" t="s">
        <v>19</v>
      </c>
      <c r="E141" t="str">
        <f>TRIM(Table1[[#This Row],[First_Name]]&amp;" "&amp;Table1[[#This Row],[Last_Name]])</f>
        <v>Sarah Gonzalez</v>
      </c>
      <c r="F141" t="s">
        <v>33</v>
      </c>
      <c r="G141" t="str">
        <f>VLOOKUP(Table1[[#This Row],[Dept Code]],Lookup_Departments!$A:$B,2,FALSE)</f>
        <v>Operations</v>
      </c>
      <c r="H141" s="4">
        <v>42932</v>
      </c>
      <c r="I141" s="6">
        <f ca="1">ROUND((TODAY()-Table1[[#This Row],[Hire Date]])/365.25,1)</f>
        <v>9</v>
      </c>
      <c r="J141" s="5">
        <v>65065</v>
      </c>
      <c r="K141" s="5">
        <f>J141*VLOOKUP(L141,Lookup_Performance!$A:$D,4,TRUE)</f>
        <v>7807.7999999999993</v>
      </c>
      <c r="L141">
        <v>98</v>
      </c>
      <c r="M141" t="str">
        <f>VLOOKUP(Table1[[#This Row],[Perf_Score]],Lookup_Performance!$A:$D,3,TRUE)</f>
        <v>Outstanding</v>
      </c>
      <c r="N141" t="s">
        <v>305</v>
      </c>
    </row>
    <row r="142" spans="2:14" x14ac:dyDescent="0.3">
      <c r="B142" t="s">
        <v>273</v>
      </c>
      <c r="C142" t="s">
        <v>105</v>
      </c>
      <c r="D142" t="s">
        <v>15</v>
      </c>
      <c r="E142" t="str">
        <f>TRIM(Table1[[#This Row],[First_Name]]&amp;" "&amp;Table1[[#This Row],[Last_Name]])</f>
        <v>Melissa Hernandez</v>
      </c>
      <c r="F142" t="s">
        <v>44</v>
      </c>
      <c r="G142" t="str">
        <f>VLOOKUP(Table1[[#This Row],[Dept Code]],Lookup_Departments!$A:$B,2,FALSE)</f>
        <v>Sales</v>
      </c>
      <c r="H142" s="4">
        <v>42175</v>
      </c>
      <c r="I142" s="6">
        <f ca="1">ROUND((TODAY()-Table1[[#This Row],[Hire Date]])/365.25,1)</f>
        <v>11.1</v>
      </c>
      <c r="J142" s="5">
        <v>77610</v>
      </c>
      <c r="K142" s="5">
        <f>J142*VLOOKUP(L142,Lookup_Performance!$A:$D,4,TRUE)</f>
        <v>6208.8</v>
      </c>
      <c r="L142">
        <v>94</v>
      </c>
      <c r="M142" t="str">
        <f>VLOOKUP(Table1[[#This Row],[Perf_Score]],Lookup_Performance!$A:$D,3,TRUE)</f>
        <v>Exceeding</v>
      </c>
      <c r="N142" t="s">
        <v>307</v>
      </c>
    </row>
    <row r="143" spans="2:14" x14ac:dyDescent="0.3">
      <c r="B143" t="s">
        <v>274</v>
      </c>
      <c r="C143" t="s">
        <v>105</v>
      </c>
      <c r="D143" t="s">
        <v>15</v>
      </c>
      <c r="E143" t="str">
        <f>TRIM(Table1[[#This Row],[First_Name]]&amp;" "&amp;Table1[[#This Row],[Last_Name]])</f>
        <v>Melissa Hernandez</v>
      </c>
      <c r="F143" t="s">
        <v>33</v>
      </c>
      <c r="G143" t="str">
        <f>VLOOKUP(Table1[[#This Row],[Dept Code]],Lookup_Departments!$A:$B,2,FALSE)</f>
        <v>Operations</v>
      </c>
      <c r="H143" s="4">
        <v>43609</v>
      </c>
      <c r="I143" s="6">
        <f ca="1">ROUND((TODAY()-Table1[[#This Row],[Hire Date]])/365.25,1)</f>
        <v>7.1</v>
      </c>
      <c r="J143" s="5">
        <v>108119</v>
      </c>
      <c r="K143" s="5">
        <f>J143*VLOOKUP(L143,Lookup_Performance!$A:$D,4,TRUE)</f>
        <v>2162.38</v>
      </c>
      <c r="L143">
        <v>57</v>
      </c>
      <c r="M143" t="str">
        <f>VLOOKUP(Table1[[#This Row],[Perf_Score]],Lookup_Performance!$A:$D,3,TRUE)</f>
        <v>Developing</v>
      </c>
      <c r="N143" t="s">
        <v>307</v>
      </c>
    </row>
    <row r="144" spans="2:14" x14ac:dyDescent="0.3">
      <c r="B144" t="s">
        <v>276</v>
      </c>
      <c r="C144" t="s">
        <v>24</v>
      </c>
      <c r="D144" t="s">
        <v>64</v>
      </c>
      <c r="E144" t="str">
        <f>TRIM(Table1[[#This Row],[First_Name]]&amp;" "&amp;Table1[[#This Row],[Last_Name]])</f>
        <v>John Davis</v>
      </c>
      <c r="F144" t="s">
        <v>11</v>
      </c>
      <c r="G144" t="str">
        <f>VLOOKUP(Table1[[#This Row],[Dept Code]],Lookup_Departments!$A:$B,2,FALSE)</f>
        <v>Information Technology</v>
      </c>
      <c r="H144" s="4">
        <v>43887</v>
      </c>
      <c r="I144" s="6">
        <f ca="1">ROUND((TODAY()-Table1[[#This Row],[Hire Date]])/365.25,1)</f>
        <v>6.4</v>
      </c>
      <c r="J144" s="5">
        <v>76218.5</v>
      </c>
      <c r="K144" s="5">
        <f>J144*VLOOKUP(L144,Lookup_Performance!$A:$D,4,TRUE)</f>
        <v>9146.2199999999993</v>
      </c>
      <c r="L144">
        <v>96</v>
      </c>
      <c r="M144" t="str">
        <f>VLOOKUP(Table1[[#This Row],[Perf_Score]],Lookup_Performance!$A:$D,3,TRUE)</f>
        <v>Outstanding</v>
      </c>
      <c r="N144" t="s">
        <v>305</v>
      </c>
    </row>
    <row r="145" spans="2:14" x14ac:dyDescent="0.3">
      <c r="B145" t="s">
        <v>277</v>
      </c>
      <c r="C145" t="s">
        <v>14</v>
      </c>
      <c r="D145" t="s">
        <v>64</v>
      </c>
      <c r="E145" t="str">
        <f>TRIM(Table1[[#This Row],[First_Name]]&amp;" "&amp;Table1[[#This Row],[Last_Name]])</f>
        <v>Richard Davis</v>
      </c>
      <c r="F145" t="s">
        <v>97</v>
      </c>
      <c r="G145" t="str">
        <f>VLOOKUP(Table1[[#This Row],[Dept Code]],Lookup_Departments!$A:$B,2,FALSE)</f>
        <v>Human Resources</v>
      </c>
      <c r="H145" s="4">
        <v>44991</v>
      </c>
      <c r="I145" s="6">
        <f ca="1">ROUND((TODAY()-Table1[[#This Row],[Hire Date]])/365.25,1)</f>
        <v>3.3</v>
      </c>
      <c r="J145" s="5">
        <v>106896</v>
      </c>
      <c r="K145" s="5">
        <f>J145*VLOOKUP(L145,Lookup_Performance!$A:$D,4,TRUE)</f>
        <v>2137.92</v>
      </c>
      <c r="L145">
        <v>52</v>
      </c>
      <c r="M145" t="str">
        <f>VLOOKUP(Table1[[#This Row],[Perf_Score]],Lookup_Performance!$A:$D,3,TRUE)</f>
        <v>Developing</v>
      </c>
      <c r="N145" t="s">
        <v>306</v>
      </c>
    </row>
    <row r="146" spans="2:14" x14ac:dyDescent="0.3">
      <c r="B146" t="s">
        <v>278</v>
      </c>
      <c r="C146" t="s">
        <v>304</v>
      </c>
      <c r="D146" t="s">
        <v>60</v>
      </c>
      <c r="E146" t="str">
        <f>TRIM(Table1[[#This Row],[First_Name]]&amp;" "&amp;Table1[[#This Row],[Last_Name]])</f>
        <v>Unknown Jones</v>
      </c>
      <c r="F146" t="s">
        <v>11</v>
      </c>
      <c r="G146" t="str">
        <f>VLOOKUP(Table1[[#This Row],[Dept Code]],Lookup_Departments!$A:$B,2,FALSE)</f>
        <v>Information Technology</v>
      </c>
      <c r="H146" s="4">
        <v>43477</v>
      </c>
      <c r="I146" s="6">
        <f ca="1">ROUND((TODAY()-Table1[[#This Row],[Hire Date]])/365.25,1)</f>
        <v>7.5</v>
      </c>
      <c r="J146" s="5">
        <v>112887</v>
      </c>
      <c r="K146" s="5">
        <f>J146*VLOOKUP(L146,Lookup_Performance!$A:$D,4,TRUE)</f>
        <v>2257.7400000000002</v>
      </c>
      <c r="L146">
        <v>59</v>
      </c>
      <c r="M146" t="str">
        <f>VLOOKUP(Table1[[#This Row],[Perf_Score]],Lookup_Performance!$A:$D,3,TRUE)</f>
        <v>Developing</v>
      </c>
      <c r="N146" t="s">
        <v>305</v>
      </c>
    </row>
    <row r="147" spans="2:14" x14ac:dyDescent="0.3">
      <c r="B147" t="s">
        <v>280</v>
      </c>
      <c r="C147" t="s">
        <v>160</v>
      </c>
      <c r="D147" t="s">
        <v>41</v>
      </c>
      <c r="E147" t="str">
        <f>TRIM(Table1[[#This Row],[First_Name]]&amp;" "&amp;Table1[[#This Row],[Last_Name]])</f>
        <v>William Rodriguez</v>
      </c>
      <c r="F147" t="s">
        <v>26</v>
      </c>
      <c r="G147" t="str">
        <f>VLOOKUP(Table1[[#This Row],[Dept Code]],Lookup_Departments!$A:$B,2,FALSE)</f>
        <v>Finance</v>
      </c>
      <c r="H147" s="4">
        <v>45037</v>
      </c>
      <c r="I147" s="6">
        <f ca="1">ROUND((TODAY()-Table1[[#This Row],[Hire Date]])/365.25,1)</f>
        <v>3.2</v>
      </c>
      <c r="J147" s="5">
        <v>85457</v>
      </c>
      <c r="K147" s="5">
        <f>J147*VLOOKUP(L147,Lookup_Performance!$A:$D,4,TRUE)</f>
        <v>4272.8500000000004</v>
      </c>
      <c r="L147">
        <v>79</v>
      </c>
      <c r="M147" t="str">
        <f>VLOOKUP(Table1[[#This Row],[Perf_Score]],Lookup_Performance!$A:$D,3,TRUE)</f>
        <v>Achieving</v>
      </c>
      <c r="N147" t="s">
        <v>305</v>
      </c>
    </row>
    <row r="148" spans="2:14" x14ac:dyDescent="0.3">
      <c r="B148" t="s">
        <v>281</v>
      </c>
      <c r="C148" t="s">
        <v>105</v>
      </c>
      <c r="D148" t="s">
        <v>47</v>
      </c>
      <c r="E148" t="str">
        <f>TRIM(Table1[[#This Row],[First_Name]]&amp;" "&amp;Table1[[#This Row],[Last_Name]])</f>
        <v>Melissa Miller</v>
      </c>
      <c r="F148" t="s">
        <v>44</v>
      </c>
      <c r="G148" t="str">
        <f>VLOOKUP(Table1[[#This Row],[Dept Code]],Lookup_Departments!$A:$B,2,FALSE)</f>
        <v>Sales</v>
      </c>
      <c r="H148" s="4">
        <v>42519</v>
      </c>
      <c r="I148" s="6">
        <f ca="1">ROUND((TODAY()-Table1[[#This Row],[Hire Date]])/365.25,1)</f>
        <v>10.1</v>
      </c>
      <c r="J148" s="5">
        <v>62798</v>
      </c>
      <c r="K148" s="5">
        <f>J148*VLOOKUP(L148,Lookup_Performance!$A:$D,4,TRUE)</f>
        <v>0</v>
      </c>
      <c r="L148">
        <v>30</v>
      </c>
      <c r="M148" t="str">
        <f>VLOOKUP(Table1[[#This Row],[Perf_Score]],Lookup_Performance!$A:$D,3,TRUE)</f>
        <v>Needs Improvement</v>
      </c>
      <c r="N148" t="s">
        <v>305</v>
      </c>
    </row>
    <row r="149" spans="2:14" x14ac:dyDescent="0.3">
      <c r="B149" t="s">
        <v>282</v>
      </c>
      <c r="C149" t="s">
        <v>9</v>
      </c>
      <c r="D149" t="s">
        <v>25</v>
      </c>
      <c r="E149" t="str">
        <f>TRIM(Table1[[#This Row],[First_Name]]&amp;" "&amp;Table1[[#This Row],[Last_Name]])</f>
        <v>Emily Martinez</v>
      </c>
      <c r="F149" t="s">
        <v>33</v>
      </c>
      <c r="G149" t="str">
        <f>VLOOKUP(Table1[[#This Row],[Dept Code]],Lookup_Departments!$A:$B,2,FALSE)</f>
        <v>Operations</v>
      </c>
      <c r="H149" s="4">
        <v>44711</v>
      </c>
      <c r="I149" s="6">
        <f ca="1">ROUND((TODAY()-Table1[[#This Row],[Hire Date]])/365.25,1)</f>
        <v>4.0999999999999996</v>
      </c>
      <c r="J149" s="5">
        <v>47794</v>
      </c>
      <c r="K149" s="5">
        <f>J149*VLOOKUP(L149,Lookup_Performance!$A:$D,4,TRUE)</f>
        <v>2389.7000000000003</v>
      </c>
      <c r="L149">
        <v>73</v>
      </c>
      <c r="M149" t="str">
        <f>VLOOKUP(Table1[[#This Row],[Perf_Score]],Lookup_Performance!$A:$D,3,TRUE)</f>
        <v>Achieving</v>
      </c>
      <c r="N149" t="s">
        <v>306</v>
      </c>
    </row>
    <row r="150" spans="2:14" x14ac:dyDescent="0.3">
      <c r="B150" t="s">
        <v>283</v>
      </c>
      <c r="C150" t="s">
        <v>66</v>
      </c>
      <c r="D150" t="s">
        <v>41</v>
      </c>
      <c r="E150" t="str">
        <f>TRIM(Table1[[#This Row],[First_Name]]&amp;" "&amp;Table1[[#This Row],[Last_Name]])</f>
        <v>James Rodriguez</v>
      </c>
      <c r="F150" t="s">
        <v>16</v>
      </c>
      <c r="G150" t="str">
        <f>VLOOKUP(Table1[[#This Row],[Dept Code]],Lookup_Departments!$A:$B,2,FALSE)</f>
        <v>Marketing</v>
      </c>
      <c r="H150" s="4">
        <v>42677</v>
      </c>
      <c r="I150" s="6">
        <f ca="1">ROUND((TODAY()-Table1[[#This Row],[Hire Date]])/365.25,1)</f>
        <v>9.6999999999999993</v>
      </c>
      <c r="J150" s="5">
        <v>93094</v>
      </c>
      <c r="K150" s="5">
        <f>J150*VLOOKUP(L150,Lookup_Performance!$A:$D,4,TRUE)</f>
        <v>4654.7</v>
      </c>
      <c r="L150">
        <v>74</v>
      </c>
      <c r="M150" t="str">
        <f>VLOOKUP(Table1[[#This Row],[Perf_Score]],Lookup_Performance!$A:$D,3,TRUE)</f>
        <v>Achieving</v>
      </c>
      <c r="N150" t="s">
        <v>305</v>
      </c>
    </row>
    <row r="151" spans="2:14" x14ac:dyDescent="0.3">
      <c r="B151" t="s">
        <v>285</v>
      </c>
      <c r="C151" t="s">
        <v>71</v>
      </c>
      <c r="D151" t="s">
        <v>10</v>
      </c>
      <c r="E151" t="str">
        <f>TRIM(Table1[[#This Row],[First_Name]]&amp;" "&amp;Table1[[#This Row],[Last_Name]])</f>
        <v>Amanda Brown</v>
      </c>
      <c r="F151" t="s">
        <v>11</v>
      </c>
      <c r="G151" t="str">
        <f>VLOOKUP(Table1[[#This Row],[Dept Code]],Lookup_Departments!$A:$B,2,FALSE)</f>
        <v>Information Technology</v>
      </c>
      <c r="H151" s="4">
        <v>44848</v>
      </c>
      <c r="I151" s="6">
        <f ca="1">ROUND((TODAY()-Table1[[#This Row],[Hire Date]])/365.25,1)</f>
        <v>3.7</v>
      </c>
      <c r="J151" s="5">
        <v>118634</v>
      </c>
      <c r="K151" s="5">
        <f>J151*VLOOKUP(L151,Lookup_Performance!$A:$D,4,TRUE)</f>
        <v>9490.7199999999993</v>
      </c>
      <c r="L151">
        <v>91</v>
      </c>
      <c r="M151" t="str">
        <f>VLOOKUP(Table1[[#This Row],[Perf_Score]],Lookup_Performance!$A:$D,3,TRUE)</f>
        <v>Exceeding</v>
      </c>
      <c r="N151" t="s">
        <v>305</v>
      </c>
    </row>
  </sheetData>
  <pageMargins left="0.75" right="0.75" top="1" bottom="1" header="0.5" footer="0.5"/>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C839-6764-46AD-B5F3-864A4DB4A53B}">
  <dimension ref="A2:S48"/>
  <sheetViews>
    <sheetView zoomScale="44" workbookViewId="0"/>
  </sheetViews>
  <sheetFormatPr defaultRowHeight="14.4" x14ac:dyDescent="0.3"/>
  <cols>
    <col min="1" max="3" width="12.5546875" bestFit="1" customWidth="1"/>
    <col min="4" max="4" width="15.77734375" bestFit="1" customWidth="1"/>
    <col min="5" max="5" width="17.77734375" bestFit="1" customWidth="1"/>
    <col min="6" max="6" width="12.5546875" bestFit="1" customWidth="1"/>
    <col min="7" max="7" width="23.21875" bestFit="1" customWidth="1"/>
    <col min="8" max="9" width="12.5546875" bestFit="1" customWidth="1"/>
    <col min="10" max="10" width="17.77734375" bestFit="1" customWidth="1"/>
    <col min="11" max="11" width="19.21875" bestFit="1" customWidth="1"/>
    <col min="12" max="12" width="12.5546875" bestFit="1" customWidth="1"/>
    <col min="13" max="13" width="20.77734375" bestFit="1" customWidth="1"/>
    <col min="14" max="14" width="19.21875" bestFit="1" customWidth="1"/>
    <col min="15" max="15" width="17.77734375" bestFit="1" customWidth="1"/>
    <col min="16" max="16" width="20.77734375" bestFit="1" customWidth="1"/>
    <col min="17" max="17" width="15.5546875" bestFit="1" customWidth="1"/>
    <col min="18" max="18" width="9.44140625" bestFit="1" customWidth="1"/>
    <col min="19" max="20" width="10.77734375" bestFit="1" customWidth="1"/>
    <col min="21" max="39" width="7.88671875" bestFit="1" customWidth="1"/>
    <col min="40" max="40" width="8" bestFit="1" customWidth="1"/>
    <col min="41" max="46" width="7.88671875" bestFit="1" customWidth="1"/>
    <col min="47" max="47" width="8" bestFit="1" customWidth="1"/>
    <col min="48" max="69" width="7.88671875" bestFit="1" customWidth="1"/>
    <col min="70" max="70" width="8" bestFit="1" customWidth="1"/>
    <col min="71" max="92" width="7.88671875" bestFit="1" customWidth="1"/>
    <col min="93" max="93" width="8" bestFit="1" customWidth="1"/>
    <col min="94" max="124" width="7.88671875" bestFit="1" customWidth="1"/>
    <col min="125" max="125" width="8" bestFit="1" customWidth="1"/>
    <col min="126" max="148" width="7.88671875" bestFit="1" customWidth="1"/>
    <col min="149" max="149" width="8" bestFit="1" customWidth="1"/>
    <col min="150" max="155" width="7.88671875" bestFit="1" customWidth="1"/>
    <col min="156" max="156" width="10.77734375" bestFit="1" customWidth="1"/>
  </cols>
  <sheetData>
    <row r="2" spans="1:19" x14ac:dyDescent="0.3">
      <c r="A2" t="s">
        <v>313</v>
      </c>
      <c r="C2" t="s">
        <v>314</v>
      </c>
      <c r="E2" t="s">
        <v>315</v>
      </c>
      <c r="G2" t="s">
        <v>316</v>
      </c>
    </row>
    <row r="3" spans="1:19" x14ac:dyDescent="0.3">
      <c r="A3" s="8">
        <v>150</v>
      </c>
      <c r="C3" s="8">
        <v>12432919</v>
      </c>
      <c r="E3" s="12">
        <v>497972.01500000001</v>
      </c>
      <c r="G3" s="8">
        <v>6.9439999999999991</v>
      </c>
    </row>
    <row r="5" spans="1:19" x14ac:dyDescent="0.3">
      <c r="B5">
        <f>GETPIVOTDATA("Emp ID",$A$2)</f>
        <v>150</v>
      </c>
      <c r="F5" s="5">
        <f>GETPIVOTDATA("Eligible Bonus",$E$2)</f>
        <v>497972.01500000001</v>
      </c>
      <c r="R5" s="9" t="s">
        <v>317</v>
      </c>
      <c r="S5" t="s">
        <v>321</v>
      </c>
    </row>
    <row r="6" spans="1:19" x14ac:dyDescent="0.3">
      <c r="R6" s="10" t="s">
        <v>305</v>
      </c>
      <c r="S6" s="8">
        <v>67.939655172413794</v>
      </c>
    </row>
    <row r="7" spans="1:19" x14ac:dyDescent="0.3">
      <c r="R7" s="10" t="s">
        <v>306</v>
      </c>
      <c r="S7" s="8">
        <v>66.083333333333329</v>
      </c>
    </row>
    <row r="8" spans="1:19" x14ac:dyDescent="0.3">
      <c r="A8" s="9" t="s">
        <v>317</v>
      </c>
      <c r="B8" t="s">
        <v>314</v>
      </c>
      <c r="E8" s="9" t="s">
        <v>317</v>
      </c>
      <c r="F8" t="s">
        <v>314</v>
      </c>
      <c r="H8" s="9" t="s">
        <v>317</v>
      </c>
      <c r="I8" t="s">
        <v>314</v>
      </c>
      <c r="L8" s="9" t="s">
        <v>317</v>
      </c>
      <c r="M8" t="s">
        <v>313</v>
      </c>
      <c r="N8" t="s">
        <v>321</v>
      </c>
      <c r="R8" s="10" t="s">
        <v>307</v>
      </c>
      <c r="S8" s="8">
        <v>76.400000000000006</v>
      </c>
    </row>
    <row r="9" spans="1:19" x14ac:dyDescent="0.3">
      <c r="A9" s="10" t="s">
        <v>291</v>
      </c>
      <c r="B9" s="11">
        <v>0.11964286102081097</v>
      </c>
      <c r="E9" s="10" t="s">
        <v>301</v>
      </c>
      <c r="F9" s="11">
        <v>0.30283632508182512</v>
      </c>
      <c r="H9" s="10" t="s">
        <v>305</v>
      </c>
      <c r="I9" s="11">
        <v>0.77503058613990805</v>
      </c>
      <c r="L9" s="10" t="s">
        <v>305</v>
      </c>
      <c r="M9" s="8">
        <v>116</v>
      </c>
      <c r="N9" s="12">
        <v>67.939655172413794</v>
      </c>
      <c r="R9" s="10" t="s">
        <v>318</v>
      </c>
      <c r="S9" s="8">
        <v>68.206666666666663</v>
      </c>
    </row>
    <row r="10" spans="1:19" x14ac:dyDescent="0.3">
      <c r="A10" s="10" t="s">
        <v>289</v>
      </c>
      <c r="B10" s="11">
        <v>0.12400470878962534</v>
      </c>
      <c r="E10" s="10" t="s">
        <v>300</v>
      </c>
      <c r="F10" s="11">
        <v>0.29770812469702407</v>
      </c>
      <c r="H10" s="10" t="s">
        <v>306</v>
      </c>
      <c r="I10" s="11">
        <v>0.1527740589317762</v>
      </c>
      <c r="L10" s="10" t="s">
        <v>306</v>
      </c>
      <c r="M10" s="8">
        <v>24</v>
      </c>
      <c r="N10" s="12">
        <v>66.083333333333329</v>
      </c>
    </row>
    <row r="11" spans="1:19" x14ac:dyDescent="0.3">
      <c r="A11" s="10" t="s">
        <v>290</v>
      </c>
      <c r="B11" s="11">
        <v>0.23015789775514503</v>
      </c>
      <c r="E11" s="10" t="s">
        <v>302</v>
      </c>
      <c r="F11" s="11">
        <v>0.14493997749040269</v>
      </c>
      <c r="H11" s="10" t="s">
        <v>307</v>
      </c>
      <c r="I11" s="11">
        <v>7.2195354928315705E-2</v>
      </c>
      <c r="L11" s="10" t="s">
        <v>307</v>
      </c>
      <c r="M11" s="8">
        <v>10</v>
      </c>
      <c r="N11" s="12">
        <v>76.400000000000006</v>
      </c>
    </row>
    <row r="12" spans="1:19" x14ac:dyDescent="0.3">
      <c r="A12" s="10" t="s">
        <v>292</v>
      </c>
      <c r="B12" s="11">
        <v>0.13047249805134256</v>
      </c>
      <c r="E12" s="10" t="s">
        <v>299</v>
      </c>
      <c r="F12" s="11">
        <v>0.19316952036766266</v>
      </c>
      <c r="H12" s="10" t="s">
        <v>318</v>
      </c>
      <c r="I12" s="11">
        <v>1</v>
      </c>
      <c r="L12" s="10" t="s">
        <v>318</v>
      </c>
      <c r="M12" s="8">
        <v>150</v>
      </c>
      <c r="N12" s="12">
        <v>68.206666666666663</v>
      </c>
    </row>
    <row r="13" spans="1:19" x14ac:dyDescent="0.3">
      <c r="A13" s="10" t="s">
        <v>294</v>
      </c>
      <c r="B13" s="11">
        <v>0.18431761680422756</v>
      </c>
      <c r="E13" s="10" t="s">
        <v>303</v>
      </c>
      <c r="F13" s="11">
        <v>6.1346052363085449E-2</v>
      </c>
    </row>
    <row r="14" spans="1:19" x14ac:dyDescent="0.3">
      <c r="A14" s="10" t="s">
        <v>293</v>
      </c>
      <c r="B14" s="11">
        <v>0.21140441757884854</v>
      </c>
      <c r="E14" s="10" t="s">
        <v>318</v>
      </c>
      <c r="F14" s="11">
        <v>1</v>
      </c>
    </row>
    <row r="15" spans="1:19" x14ac:dyDescent="0.3">
      <c r="A15" s="10" t="s">
        <v>318</v>
      </c>
      <c r="B15" s="11">
        <v>1</v>
      </c>
    </row>
    <row r="18" spans="1:19" x14ac:dyDescent="0.3">
      <c r="A18" s="9" t="s">
        <v>317</v>
      </c>
      <c r="B18" t="s">
        <v>314</v>
      </c>
      <c r="O18" s="9" t="s">
        <v>317</v>
      </c>
      <c r="P18" t="s">
        <v>313</v>
      </c>
      <c r="Q18" t="s">
        <v>315</v>
      </c>
    </row>
    <row r="19" spans="1:19" x14ac:dyDescent="0.3">
      <c r="A19" s="10" t="s">
        <v>146</v>
      </c>
      <c r="B19" s="8">
        <v>103891</v>
      </c>
      <c r="O19" s="10" t="s">
        <v>301</v>
      </c>
      <c r="P19" s="8">
        <v>47</v>
      </c>
      <c r="Q19" s="11">
        <v>0.37804729850130231</v>
      </c>
    </row>
    <row r="20" spans="1:19" x14ac:dyDescent="0.3">
      <c r="A20" s="10" t="s">
        <v>318</v>
      </c>
      <c r="B20" s="8">
        <v>103891</v>
      </c>
      <c r="O20" s="10" t="s">
        <v>300</v>
      </c>
      <c r="P20" s="8">
        <v>43</v>
      </c>
      <c r="Q20" s="11">
        <v>0.14865819317175885</v>
      </c>
    </row>
    <row r="21" spans="1:19" x14ac:dyDescent="0.3">
      <c r="O21" s="10" t="s">
        <v>302</v>
      </c>
      <c r="P21" s="8">
        <v>22</v>
      </c>
      <c r="Q21" s="11">
        <v>0.28949851730121823</v>
      </c>
    </row>
    <row r="22" spans="1:19" x14ac:dyDescent="0.3">
      <c r="O22" s="10" t="s">
        <v>299</v>
      </c>
      <c r="P22" s="8">
        <v>28</v>
      </c>
      <c r="Q22" s="11">
        <v>0</v>
      </c>
    </row>
    <row r="23" spans="1:19" x14ac:dyDescent="0.3">
      <c r="O23" s="10" t="s">
        <v>303</v>
      </c>
      <c r="P23" s="8">
        <v>10</v>
      </c>
      <c r="Q23" s="11">
        <v>0.18379599102572061</v>
      </c>
    </row>
    <row r="24" spans="1:19" x14ac:dyDescent="0.3">
      <c r="O24" s="10" t="s">
        <v>318</v>
      </c>
      <c r="P24" s="8">
        <v>150</v>
      </c>
      <c r="Q24" s="11">
        <v>1</v>
      </c>
    </row>
    <row r="27" spans="1:19" x14ac:dyDescent="0.3">
      <c r="J27" s="9" t="s">
        <v>317</v>
      </c>
      <c r="K27" t="s">
        <v>315</v>
      </c>
      <c r="M27" s="9" t="s">
        <v>317</v>
      </c>
      <c r="N27" t="s">
        <v>315</v>
      </c>
      <c r="P27" s="9" t="s">
        <v>313</v>
      </c>
      <c r="Q27" s="9" t="s">
        <v>319</v>
      </c>
    </row>
    <row r="28" spans="1:19" x14ac:dyDescent="0.3">
      <c r="J28" s="10" t="s">
        <v>301</v>
      </c>
      <c r="K28" s="11">
        <v>0.37804729850130231</v>
      </c>
      <c r="M28" s="10" t="s">
        <v>291</v>
      </c>
      <c r="N28" s="11">
        <v>9.9560112830838501E-2</v>
      </c>
      <c r="P28" s="9" t="s">
        <v>317</v>
      </c>
      <c r="Q28" t="s">
        <v>306</v>
      </c>
      <c r="R28" t="s">
        <v>307</v>
      </c>
      <c r="S28" t="s">
        <v>318</v>
      </c>
    </row>
    <row r="29" spans="1:19" x14ac:dyDescent="0.3">
      <c r="D29" t="s">
        <v>322</v>
      </c>
      <c r="J29" s="10" t="s">
        <v>300</v>
      </c>
      <c r="K29" s="11">
        <v>0.14865819317175885</v>
      </c>
      <c r="M29" s="10" t="s">
        <v>289</v>
      </c>
      <c r="N29" s="11">
        <v>0.15453798141648581</v>
      </c>
      <c r="P29" s="10" t="s">
        <v>291</v>
      </c>
      <c r="Q29" s="8">
        <v>3</v>
      </c>
      <c r="R29" s="8"/>
      <c r="S29" s="8">
        <v>3</v>
      </c>
    </row>
    <row r="30" spans="1:19" x14ac:dyDescent="0.3">
      <c r="D30" s="13">
        <v>82886.126666666663</v>
      </c>
      <c r="J30" s="10" t="s">
        <v>302</v>
      </c>
      <c r="K30" s="11">
        <v>0.28949851730121823</v>
      </c>
      <c r="M30" s="10" t="s">
        <v>290</v>
      </c>
      <c r="N30" s="11">
        <v>0.2078102220262317</v>
      </c>
      <c r="P30" s="10" t="s">
        <v>289</v>
      </c>
      <c r="Q30" s="8">
        <v>2</v>
      </c>
      <c r="R30" s="8">
        <v>1</v>
      </c>
      <c r="S30" s="8">
        <v>3</v>
      </c>
    </row>
    <row r="31" spans="1:19" x14ac:dyDescent="0.3">
      <c r="J31" s="10" t="s">
        <v>299</v>
      </c>
      <c r="K31" s="11">
        <v>0</v>
      </c>
      <c r="M31" s="10" t="s">
        <v>292</v>
      </c>
      <c r="N31" s="11">
        <v>0.15775687716105896</v>
      </c>
      <c r="P31" s="10" t="s">
        <v>290</v>
      </c>
      <c r="Q31" s="8">
        <v>6</v>
      </c>
      <c r="R31" s="8">
        <v>2</v>
      </c>
      <c r="S31" s="8">
        <v>8</v>
      </c>
    </row>
    <row r="32" spans="1:19" x14ac:dyDescent="0.3">
      <c r="E32" s="14">
        <f>GETPIVOTDATA("Salary",$D$29)</f>
        <v>82886.126666666663</v>
      </c>
      <c r="J32" s="10" t="s">
        <v>303</v>
      </c>
      <c r="K32" s="11">
        <v>0.18379599102572061</v>
      </c>
      <c r="M32" s="10" t="s">
        <v>294</v>
      </c>
      <c r="N32" s="11">
        <v>0.20270189279612427</v>
      </c>
      <c r="P32" s="10" t="s">
        <v>292</v>
      </c>
      <c r="Q32" s="8">
        <v>3</v>
      </c>
      <c r="R32" s="8"/>
      <c r="S32" s="8">
        <v>3</v>
      </c>
    </row>
    <row r="33" spans="2:19" x14ac:dyDescent="0.3">
      <c r="J33" s="10" t="s">
        <v>318</v>
      </c>
      <c r="K33" s="11">
        <v>1</v>
      </c>
      <c r="M33" s="10" t="s">
        <v>293</v>
      </c>
      <c r="N33" s="11">
        <v>0.17763291376926071</v>
      </c>
      <c r="P33" s="10" t="s">
        <v>294</v>
      </c>
      <c r="Q33" s="8">
        <v>6</v>
      </c>
      <c r="R33" s="8">
        <v>5</v>
      </c>
      <c r="S33" s="8">
        <v>11</v>
      </c>
    </row>
    <row r="34" spans="2:19" x14ac:dyDescent="0.3">
      <c r="M34" s="10" t="s">
        <v>318</v>
      </c>
      <c r="N34" s="11">
        <v>1</v>
      </c>
      <c r="P34" s="10" t="s">
        <v>293</v>
      </c>
      <c r="Q34" s="8">
        <v>4</v>
      </c>
      <c r="R34" s="8">
        <v>2</v>
      </c>
      <c r="S34" s="8">
        <v>6</v>
      </c>
    </row>
    <row r="35" spans="2:19" x14ac:dyDescent="0.3">
      <c r="P35" s="10" t="s">
        <v>318</v>
      </c>
      <c r="Q35" s="8">
        <v>24</v>
      </c>
      <c r="R35" s="8">
        <v>10</v>
      </c>
      <c r="S35" s="8">
        <v>34</v>
      </c>
    </row>
    <row r="36" spans="2:19" x14ac:dyDescent="0.3">
      <c r="G36" s="9" t="s">
        <v>317</v>
      </c>
      <c r="H36" t="s">
        <v>314</v>
      </c>
    </row>
    <row r="37" spans="2:19" x14ac:dyDescent="0.3">
      <c r="G37" s="10" t="s">
        <v>301</v>
      </c>
      <c r="H37" s="11">
        <v>0.30283632508182512</v>
      </c>
    </row>
    <row r="38" spans="2:19" x14ac:dyDescent="0.3">
      <c r="G38" s="10" t="s">
        <v>300</v>
      </c>
      <c r="H38" s="11">
        <v>0.29770812469702407</v>
      </c>
      <c r="L38" s="9" t="s">
        <v>317</v>
      </c>
      <c r="M38" t="s">
        <v>320</v>
      </c>
      <c r="P38" s="9" t="s">
        <v>317</v>
      </c>
      <c r="Q38" t="s">
        <v>314</v>
      </c>
      <c r="R38" t="s">
        <v>313</v>
      </c>
    </row>
    <row r="39" spans="2:19" x14ac:dyDescent="0.3">
      <c r="G39" s="10" t="s">
        <v>302</v>
      </c>
      <c r="H39" s="11">
        <v>0.14493997749040269</v>
      </c>
      <c r="L39" s="10" t="s">
        <v>305</v>
      </c>
      <c r="M39" s="8">
        <v>116</v>
      </c>
      <c r="P39" s="10" t="s">
        <v>291</v>
      </c>
      <c r="Q39" s="8">
        <v>1487510</v>
      </c>
      <c r="R39" s="8">
        <v>17</v>
      </c>
    </row>
    <row r="40" spans="2:19" x14ac:dyDescent="0.3">
      <c r="G40" s="10" t="s">
        <v>299</v>
      </c>
      <c r="H40" s="11">
        <v>0.19316952036766266</v>
      </c>
      <c r="L40" s="10" t="s">
        <v>306</v>
      </c>
      <c r="M40" s="8">
        <v>24</v>
      </c>
      <c r="P40" s="10" t="s">
        <v>289</v>
      </c>
      <c r="Q40" s="8">
        <v>1541740.5</v>
      </c>
      <c r="R40" s="8">
        <v>18</v>
      </c>
    </row>
    <row r="41" spans="2:19" x14ac:dyDescent="0.3">
      <c r="G41" s="10" t="s">
        <v>303</v>
      </c>
      <c r="H41" s="11">
        <v>6.1346052363085449E-2</v>
      </c>
      <c r="L41" s="10" t="s">
        <v>307</v>
      </c>
      <c r="M41" s="8">
        <v>10</v>
      </c>
      <c r="P41" s="10" t="s">
        <v>290</v>
      </c>
      <c r="Q41" s="8">
        <v>2861534.5</v>
      </c>
      <c r="R41" s="8">
        <v>36</v>
      </c>
    </row>
    <row r="42" spans="2:19" x14ac:dyDescent="0.3">
      <c r="B42" s="15">
        <f>(24+10)/150</f>
        <v>0.22666666666666666</v>
      </c>
      <c r="G42" s="10" t="s">
        <v>318</v>
      </c>
      <c r="H42" s="11">
        <v>1</v>
      </c>
      <c r="L42" s="10" t="s">
        <v>318</v>
      </c>
      <c r="M42" s="8">
        <v>150</v>
      </c>
      <c r="P42" s="10" t="s">
        <v>292</v>
      </c>
      <c r="Q42" s="8">
        <v>1622154</v>
      </c>
      <c r="R42" s="8">
        <v>19</v>
      </c>
    </row>
    <row r="43" spans="2:19" x14ac:dyDescent="0.3">
      <c r="P43" s="10" t="s">
        <v>294</v>
      </c>
      <c r="Q43" s="8">
        <v>2291606</v>
      </c>
      <c r="R43" s="8">
        <v>29</v>
      </c>
    </row>
    <row r="44" spans="2:19" x14ac:dyDescent="0.3">
      <c r="F44" s="9" t="s">
        <v>317</v>
      </c>
      <c r="G44" t="s">
        <v>313</v>
      </c>
      <c r="P44" s="10" t="s">
        <v>293</v>
      </c>
      <c r="Q44" s="8">
        <v>2628374</v>
      </c>
      <c r="R44" s="8">
        <v>31</v>
      </c>
    </row>
    <row r="45" spans="2:19" x14ac:dyDescent="0.3">
      <c r="F45" s="10" t="s">
        <v>305</v>
      </c>
      <c r="G45" s="8">
        <v>116</v>
      </c>
      <c r="P45" s="10" t="s">
        <v>318</v>
      </c>
      <c r="Q45" s="8">
        <v>12432919</v>
      </c>
      <c r="R45" s="8">
        <v>150</v>
      </c>
    </row>
    <row r="46" spans="2:19" x14ac:dyDescent="0.3">
      <c r="F46" s="10" t="s">
        <v>306</v>
      </c>
      <c r="G46" s="8">
        <v>24</v>
      </c>
    </row>
    <row r="47" spans="2:19" x14ac:dyDescent="0.3">
      <c r="F47" s="10" t="s">
        <v>307</v>
      </c>
      <c r="G47" s="8">
        <v>10</v>
      </c>
    </row>
    <row r="48" spans="2:19" x14ac:dyDescent="0.3">
      <c r="F48" s="10" t="s">
        <v>318</v>
      </c>
      <c r="G48" s="8">
        <v>150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6EBC-0EF5-42F5-9B9F-9405A15A4C7E}">
  <dimension ref="A1"/>
  <sheetViews>
    <sheetView zoomScale="43"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472D-B4F7-4595-B1F2-D93F1AD052C5}">
  <dimension ref="A1"/>
  <sheetViews>
    <sheetView showGridLines="0" tabSelected="1" zoomScale="47" zoomScaleNormal="46" workbookViewId="0"/>
  </sheetViews>
  <sheetFormatPr defaultRowHeight="14.4" x14ac:dyDescent="0.3"/>
  <sheetData>
    <row r="1" spans="1:1" x14ac:dyDescent="0.3">
      <c r="A1"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Raw_Employee_Data</vt:lpstr>
      <vt:lpstr>Lookup_Departments</vt:lpstr>
      <vt:lpstr>Lookup_Performance</vt:lpstr>
      <vt:lpstr>Cleaned Employee Data</vt:lpstr>
      <vt:lpstr>Analysis</vt:lpstr>
      <vt:lpstr>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Olanrewaju Wuraola</cp:lastModifiedBy>
  <dcterms:created xsi:type="dcterms:W3CDTF">2026-06-04T20:20:01Z</dcterms:created>
  <dcterms:modified xsi:type="dcterms:W3CDTF">2026-07-09T15:14:01Z</dcterms:modified>
</cp:coreProperties>
</file>